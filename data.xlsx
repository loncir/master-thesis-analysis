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necirotzki/Documents/master/REACT/"/>
    </mc:Choice>
  </mc:AlternateContent>
  <xr:revisionPtr revIDLastSave="0" documentId="13_ncr:1_{B9C63C04-98D9-784B-A74A-1F363F5E28F7}" xr6:coauthVersionLast="47" xr6:coauthVersionMax="47" xr10:uidLastSave="{00000000-0000-0000-0000-000000000000}"/>
  <bookViews>
    <workbookView xWindow="0" yWindow="720" windowWidth="29400" windowHeight="18400" activeTab="9" xr2:uid="{CF806523-C6F0-B44F-9C1A-C747CBBAB770}"/>
  </bookViews>
  <sheets>
    <sheet name="dropout" sheetId="17" r:id="rId1"/>
    <sheet name="Bakgrunn" sheetId="5" r:id="rId2"/>
    <sheet name="Oppmøte" sheetId="7" r:id="rId3"/>
    <sheet name="adherence" sheetId="19" r:id="rId4"/>
    <sheet name="baseline functional fitness" sheetId="8" r:id="rId5"/>
    <sheet name="functional fitness" sheetId="14" r:id="rId6"/>
    <sheet name="baseline fatigue" sheetId="9" r:id="rId7"/>
    <sheet name="fatigue" sheetId="15" r:id="rId8"/>
    <sheet name="baseline V&amp;H" sheetId="16" r:id="rId9"/>
    <sheet name="attrition" sheetId="1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19" l="1"/>
  <c r="T66" i="9" l="1"/>
  <c r="V66" i="9" s="1"/>
  <c r="U66" i="9"/>
  <c r="T43" i="15"/>
  <c r="S43" i="15"/>
  <c r="T39" i="15"/>
  <c r="S39" i="15"/>
  <c r="T36" i="15"/>
  <c r="S36" i="15"/>
  <c r="U43" i="15" l="1"/>
  <c r="U39" i="15"/>
  <c r="U36" i="15"/>
  <c r="G71" i="16" l="1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" i="16"/>
  <c r="U70" i="9"/>
  <c r="T70" i="9"/>
  <c r="U69" i="9"/>
  <c r="T69" i="9"/>
  <c r="U68" i="9"/>
  <c r="T68" i="9"/>
  <c r="U67" i="9"/>
  <c r="T67" i="9"/>
  <c r="U65" i="9"/>
  <c r="T65" i="9"/>
  <c r="U64" i="9"/>
  <c r="T64" i="9"/>
  <c r="U63" i="9"/>
  <c r="T63" i="9"/>
  <c r="U62" i="9"/>
  <c r="T62" i="9"/>
  <c r="U61" i="9"/>
  <c r="T61" i="9"/>
  <c r="U60" i="9"/>
  <c r="T60" i="9"/>
  <c r="U59" i="9"/>
  <c r="T59" i="9"/>
  <c r="U58" i="9"/>
  <c r="T58" i="9"/>
  <c r="V58" i="9" s="1"/>
  <c r="U57" i="9"/>
  <c r="T57" i="9"/>
  <c r="U56" i="9"/>
  <c r="T56" i="9"/>
  <c r="U55" i="9"/>
  <c r="T55" i="9"/>
  <c r="U54" i="9"/>
  <c r="T54" i="9"/>
  <c r="V54" i="9" s="1"/>
  <c r="U53" i="9"/>
  <c r="T53" i="9"/>
  <c r="U52" i="9"/>
  <c r="T52" i="9"/>
  <c r="U51" i="9"/>
  <c r="T51" i="9"/>
  <c r="U50" i="9"/>
  <c r="T50" i="9"/>
  <c r="U49" i="9"/>
  <c r="T49" i="9"/>
  <c r="U48" i="9"/>
  <c r="T48" i="9"/>
  <c r="V48" i="9" s="1"/>
  <c r="U47" i="9"/>
  <c r="T47" i="9"/>
  <c r="U46" i="9"/>
  <c r="T46" i="9"/>
  <c r="U45" i="9"/>
  <c r="T45" i="9"/>
  <c r="U44" i="9"/>
  <c r="T44" i="9"/>
  <c r="U43" i="9"/>
  <c r="T43" i="9"/>
  <c r="U42" i="9"/>
  <c r="T42" i="9"/>
  <c r="U41" i="9"/>
  <c r="T41" i="9"/>
  <c r="U40" i="9"/>
  <c r="T40" i="9"/>
  <c r="U39" i="9"/>
  <c r="T39" i="9"/>
  <c r="U38" i="9"/>
  <c r="T38" i="9"/>
  <c r="V38" i="9" s="1"/>
  <c r="U37" i="9"/>
  <c r="T37" i="9"/>
  <c r="U36" i="9"/>
  <c r="T36" i="9"/>
  <c r="U35" i="9"/>
  <c r="T35" i="9"/>
  <c r="U34" i="9"/>
  <c r="T34" i="9"/>
  <c r="V34" i="9" s="1"/>
  <c r="U33" i="9"/>
  <c r="T33" i="9"/>
  <c r="U32" i="9"/>
  <c r="T32" i="9"/>
  <c r="U31" i="9"/>
  <c r="T31" i="9"/>
  <c r="U30" i="9"/>
  <c r="T30" i="9"/>
  <c r="U29" i="9"/>
  <c r="T29" i="9"/>
  <c r="U28" i="9"/>
  <c r="T28" i="9"/>
  <c r="U27" i="9"/>
  <c r="T27" i="9"/>
  <c r="U26" i="9"/>
  <c r="T26" i="9"/>
  <c r="V26" i="9" s="1"/>
  <c r="U25" i="9"/>
  <c r="T25" i="9"/>
  <c r="U24" i="9"/>
  <c r="T24" i="9"/>
  <c r="U23" i="9"/>
  <c r="T23" i="9"/>
  <c r="U22" i="9"/>
  <c r="T22" i="9"/>
  <c r="V22" i="9" s="1"/>
  <c r="U21" i="9"/>
  <c r="T21" i="9"/>
  <c r="U20" i="9"/>
  <c r="T20" i="9"/>
  <c r="U19" i="9"/>
  <c r="T19" i="9"/>
  <c r="U18" i="9"/>
  <c r="T18" i="9"/>
  <c r="U17" i="9"/>
  <c r="T17" i="9"/>
  <c r="U16" i="9"/>
  <c r="T16" i="9"/>
  <c r="U15" i="9"/>
  <c r="T15" i="9"/>
  <c r="U14" i="9"/>
  <c r="T14" i="9"/>
  <c r="U13" i="9"/>
  <c r="T13" i="9"/>
  <c r="U12" i="9"/>
  <c r="T12" i="9"/>
  <c r="V12" i="9" s="1"/>
  <c r="U11" i="9"/>
  <c r="T11" i="9"/>
  <c r="U10" i="9"/>
  <c r="T10" i="9"/>
  <c r="U9" i="9"/>
  <c r="T9" i="9"/>
  <c r="U8" i="9"/>
  <c r="T8" i="9"/>
  <c r="V8" i="9" s="1"/>
  <c r="U7" i="9"/>
  <c r="T7" i="9"/>
  <c r="U6" i="9"/>
  <c r="T6" i="9"/>
  <c r="U5" i="9"/>
  <c r="T5" i="9"/>
  <c r="U4" i="9"/>
  <c r="T4" i="9"/>
  <c r="V4" i="9" s="1"/>
  <c r="U3" i="9"/>
  <c r="T3" i="9"/>
  <c r="U2" i="9"/>
  <c r="T2" i="9"/>
  <c r="AC79" i="7"/>
  <c r="AB79" i="7"/>
  <c r="AD79" i="7" s="1"/>
  <c r="AC78" i="7"/>
  <c r="AB78" i="7"/>
  <c r="AD78" i="7" s="1"/>
  <c r="AC77" i="7"/>
  <c r="AB77" i="7"/>
  <c r="AD77" i="7" s="1"/>
  <c r="AC76" i="7"/>
  <c r="AB76" i="7"/>
  <c r="AD76" i="7" s="1"/>
  <c r="AC75" i="7"/>
  <c r="AB75" i="7"/>
  <c r="AD75" i="7" s="1"/>
  <c r="AC74" i="7"/>
  <c r="AB74" i="7"/>
  <c r="AD74" i="7" s="1"/>
  <c r="AC73" i="7"/>
  <c r="AB73" i="7"/>
  <c r="AD73" i="7" s="1"/>
  <c r="AC72" i="7"/>
  <c r="AB72" i="7"/>
  <c r="AD72" i="7" s="1"/>
  <c r="AC71" i="7"/>
  <c r="AB71" i="7"/>
  <c r="AD71" i="7" s="1"/>
  <c r="AD70" i="7"/>
  <c r="AC70" i="7"/>
  <c r="AB70" i="7"/>
  <c r="AC69" i="7"/>
  <c r="AB69" i="7"/>
  <c r="AD69" i="7" s="1"/>
  <c r="AC68" i="7"/>
  <c r="AB68" i="7"/>
  <c r="AD68" i="7" s="1"/>
  <c r="AC67" i="7"/>
  <c r="AB67" i="7"/>
  <c r="AD67" i="7" s="1"/>
  <c r="AC66" i="7"/>
  <c r="AB66" i="7"/>
  <c r="AD66" i="7" s="1"/>
  <c r="AC65" i="7"/>
  <c r="AB65" i="7"/>
  <c r="AD65" i="7" s="1"/>
  <c r="AC64" i="7"/>
  <c r="AB64" i="7"/>
  <c r="AD64" i="7" s="1"/>
  <c r="AC63" i="7"/>
  <c r="AB63" i="7"/>
  <c r="AD63" i="7" s="1"/>
  <c r="AC62" i="7"/>
  <c r="AB62" i="7"/>
  <c r="AD62" i="7" s="1"/>
  <c r="AC61" i="7"/>
  <c r="AB61" i="7"/>
  <c r="AD61" i="7" s="1"/>
  <c r="AC60" i="7"/>
  <c r="AB60" i="7"/>
  <c r="AD60" i="7" s="1"/>
  <c r="AC59" i="7"/>
  <c r="AB59" i="7"/>
  <c r="AD59" i="7" s="1"/>
  <c r="AC58" i="7"/>
  <c r="AB58" i="7"/>
  <c r="AD58" i="7" s="1"/>
  <c r="AC57" i="7"/>
  <c r="AB57" i="7"/>
  <c r="AD57" i="7" s="1"/>
  <c r="AC56" i="7"/>
  <c r="AB56" i="7"/>
  <c r="AD56" i="7" s="1"/>
  <c r="AC55" i="7"/>
  <c r="AB55" i="7"/>
  <c r="AD55" i="7" s="1"/>
  <c r="AC54" i="7"/>
  <c r="AB54" i="7"/>
  <c r="AD54" i="7" s="1"/>
  <c r="AC47" i="7"/>
  <c r="AB47" i="7"/>
  <c r="AD47" i="7" s="1"/>
  <c r="AC46" i="7"/>
  <c r="AB46" i="7"/>
  <c r="AD46" i="7" s="1"/>
  <c r="AC45" i="7"/>
  <c r="AB45" i="7"/>
  <c r="AD45" i="7" s="1"/>
  <c r="AC44" i="7"/>
  <c r="AB44" i="7"/>
  <c r="AC43" i="7"/>
  <c r="AB43" i="7"/>
  <c r="AD43" i="7" s="1"/>
  <c r="AC42" i="7"/>
  <c r="AB42" i="7"/>
  <c r="AD42" i="7" s="1"/>
  <c r="AC41" i="7"/>
  <c r="AB41" i="7"/>
  <c r="AD41" i="7" s="1"/>
  <c r="AC40" i="7"/>
  <c r="AB40" i="7"/>
  <c r="AD40" i="7" s="1"/>
  <c r="AC39" i="7"/>
  <c r="AB39" i="7"/>
  <c r="AD39" i="7" s="1"/>
  <c r="AC38" i="7"/>
  <c r="AB38" i="7"/>
  <c r="AD38" i="7" s="1"/>
  <c r="AC37" i="7"/>
  <c r="AB37" i="7"/>
  <c r="AD37" i="7" s="1"/>
  <c r="AC36" i="7"/>
  <c r="AB36" i="7"/>
  <c r="AD36" i="7" s="1"/>
  <c r="AC35" i="7"/>
  <c r="AB35" i="7"/>
  <c r="AD35" i="7" s="1"/>
  <c r="AC34" i="7"/>
  <c r="AB34" i="7"/>
  <c r="AD34" i="7" s="1"/>
  <c r="AC33" i="7"/>
  <c r="AB33" i="7"/>
  <c r="AD33" i="7" s="1"/>
  <c r="AC32" i="7"/>
  <c r="AB32" i="7"/>
  <c r="AD32" i="7" s="1"/>
  <c r="AC31" i="7"/>
  <c r="AB31" i="7"/>
  <c r="AD31" i="7" s="1"/>
  <c r="AC30" i="7"/>
  <c r="AB30" i="7"/>
  <c r="AD30" i="7" s="1"/>
  <c r="AC29" i="7"/>
  <c r="AB29" i="7"/>
  <c r="AD29" i="7" s="1"/>
  <c r="AC28" i="7"/>
  <c r="AB28" i="7"/>
  <c r="AD28" i="7" s="1"/>
  <c r="AC27" i="7"/>
  <c r="AB27" i="7"/>
  <c r="AD27" i="7" s="1"/>
  <c r="AC26" i="7"/>
  <c r="AB26" i="7"/>
  <c r="AD26" i="7" s="1"/>
  <c r="AC25" i="7"/>
  <c r="AB25" i="7"/>
  <c r="AD25" i="7" s="1"/>
  <c r="AC24" i="7"/>
  <c r="AB24" i="7"/>
  <c r="AC23" i="7"/>
  <c r="AB23" i="7"/>
  <c r="AD23" i="7" s="1"/>
  <c r="AC22" i="7"/>
  <c r="AB22" i="7"/>
  <c r="AD22" i="7" s="1"/>
  <c r="AD21" i="7"/>
  <c r="AC21" i="7"/>
  <c r="AB21" i="7"/>
  <c r="AC20" i="7"/>
  <c r="AB20" i="7"/>
  <c r="AD20" i="7" s="1"/>
  <c r="AC19" i="7"/>
  <c r="AB19" i="7"/>
  <c r="AC18" i="7"/>
  <c r="AB18" i="7"/>
  <c r="AC17" i="7"/>
  <c r="AB17" i="7"/>
  <c r="AD17" i="7" s="1"/>
  <c r="AC16" i="7"/>
  <c r="AB16" i="7"/>
  <c r="AD16" i="7" s="1"/>
  <c r="AC15" i="7"/>
  <c r="AB15" i="7"/>
  <c r="AD15" i="7" s="1"/>
  <c r="AC14" i="7"/>
  <c r="AB14" i="7"/>
  <c r="AD14" i="7" s="1"/>
  <c r="AC13" i="7"/>
  <c r="AB13" i="7"/>
  <c r="AC12" i="7"/>
  <c r="AB12" i="7"/>
  <c r="AC11" i="7"/>
  <c r="AB11" i="7"/>
  <c r="AD11" i="7" s="1"/>
  <c r="AC10" i="7"/>
  <c r="AB10" i="7"/>
  <c r="AD10" i="7" s="1"/>
  <c r="AC9" i="7"/>
  <c r="AB9" i="7"/>
  <c r="AD9" i="7" s="1"/>
  <c r="AC8" i="7"/>
  <c r="AB8" i="7"/>
  <c r="AD8" i="7" s="1"/>
  <c r="AC7" i="7"/>
  <c r="AB7" i="7"/>
  <c r="AD7" i="7" s="1"/>
  <c r="AC6" i="7"/>
  <c r="AB6" i="7"/>
  <c r="AC5" i="7"/>
  <c r="AB5" i="7"/>
  <c r="AC4" i="7"/>
  <c r="AB4" i="7"/>
  <c r="AD4" i="7" s="1"/>
  <c r="AD3" i="7"/>
  <c r="AC3" i="7"/>
  <c r="AB3" i="7"/>
  <c r="V62" i="9" l="1"/>
  <c r="V9" i="9"/>
  <c r="V13" i="9"/>
  <c r="V21" i="9"/>
  <c r="V49" i="9"/>
  <c r="V56" i="9"/>
  <c r="V65" i="9"/>
  <c r="V59" i="9"/>
  <c r="V61" i="9"/>
  <c r="V16" i="9"/>
  <c r="V20" i="9"/>
  <c r="V24" i="9"/>
  <c r="V28" i="9"/>
  <c r="V32" i="9"/>
  <c r="V10" i="9"/>
  <c r="V55" i="9"/>
  <c r="V11" i="9"/>
  <c r="V15" i="9"/>
  <c r="V19" i="9"/>
  <c r="V31" i="9"/>
  <c r="V35" i="9"/>
  <c r="V39" i="9"/>
  <c r="V45" i="9"/>
  <c r="V25" i="9"/>
  <c r="V29" i="9"/>
  <c r="V33" i="9"/>
  <c r="V41" i="9"/>
  <c r="V42" i="9"/>
  <c r="V23" i="9"/>
  <c r="V27" i="9"/>
  <c r="V2" i="9"/>
  <c r="V44" i="9"/>
  <c r="V7" i="9"/>
  <c r="V14" i="9"/>
  <c r="V18" i="9"/>
  <c r="V30" i="9"/>
  <c r="V43" i="9"/>
  <c r="V57" i="9"/>
  <c r="V60" i="9"/>
  <c r="V64" i="9"/>
  <c r="V63" i="9"/>
  <c r="V68" i="9"/>
  <c r="V70" i="9"/>
  <c r="V69" i="9"/>
  <c r="V46" i="9"/>
  <c r="V51" i="9"/>
  <c r="V52" i="9"/>
  <c r="V53" i="9"/>
  <c r="V50" i="9"/>
  <c r="V5" i="9"/>
  <c r="V6" i="9"/>
  <c r="V36" i="9"/>
  <c r="V40" i="9"/>
  <c r="V67" i="9"/>
  <c r="V3" i="9"/>
  <c r="V17" i="9"/>
  <c r="V37" i="9"/>
  <c r="V47" i="9"/>
  <c r="AD84" i="7"/>
  <c r="AD89" i="7"/>
  <c r="AD52" i="7"/>
  <c r="AD83" i="7"/>
  <c r="AD88" i="7"/>
  <c r="AD50" i="7"/>
  <c r="AD51" i="7"/>
  <c r="AD82" i="7"/>
  <c r="AD87" i="7"/>
</calcChain>
</file>

<file path=xl/sharedStrings.xml><?xml version="1.0" encoding="utf-8"?>
<sst xmlns="http://schemas.openxmlformats.org/spreadsheetml/2006/main" count="4161" uniqueCount="266">
  <si>
    <t>post</t>
  </si>
  <si>
    <t>pre</t>
  </si>
  <si>
    <t>095</t>
  </si>
  <si>
    <t>094</t>
  </si>
  <si>
    <t>093</t>
  </si>
  <si>
    <t>092</t>
  </si>
  <si>
    <t>091</t>
  </si>
  <si>
    <t>059</t>
  </si>
  <si>
    <t>058</t>
  </si>
  <si>
    <t>057</t>
  </si>
  <si>
    <t>055</t>
  </si>
  <si>
    <t>054</t>
  </si>
  <si>
    <t>052</t>
  </si>
  <si>
    <t>051</t>
  </si>
  <si>
    <t>043</t>
  </si>
  <si>
    <t>Puls målt manuelt</t>
  </si>
  <si>
    <t>040</t>
  </si>
  <si>
    <t>039</t>
  </si>
  <si>
    <t>038</t>
  </si>
  <si>
    <t>037</t>
  </si>
  <si>
    <t>Målt manuelt i 15 sek og ganget med 4, uten sko</t>
  </si>
  <si>
    <t>035</t>
  </si>
  <si>
    <t>034</t>
  </si>
  <si>
    <t>032</t>
  </si>
  <si>
    <t>026</t>
  </si>
  <si>
    <t>Manuell måling</t>
  </si>
  <si>
    <t>025</t>
  </si>
  <si>
    <t>024</t>
  </si>
  <si>
    <t>023</t>
  </si>
  <si>
    <t>022</t>
  </si>
  <si>
    <t>021</t>
  </si>
  <si>
    <t>020</t>
  </si>
  <si>
    <t>019</t>
  </si>
  <si>
    <t>018</t>
  </si>
  <si>
    <t>017</t>
  </si>
  <si>
    <t>016</t>
  </si>
  <si>
    <t>014</t>
  </si>
  <si>
    <t>013</t>
  </si>
  <si>
    <t>012</t>
  </si>
  <si>
    <t>Manuell måling av puls</t>
  </si>
  <si>
    <t>060</t>
  </si>
  <si>
    <t>056</t>
  </si>
  <si>
    <t>Brukte ikke skinne på foten</t>
  </si>
  <si>
    <t>053</t>
  </si>
  <si>
    <t> </t>
  </si>
  <si>
    <t>042</t>
  </si>
  <si>
    <t>041</t>
  </si>
  <si>
    <t>036</t>
  </si>
  <si>
    <t>033</t>
  </si>
  <si>
    <t>031</t>
  </si>
  <si>
    <t>015</t>
  </si>
  <si>
    <t>011</t>
  </si>
  <si>
    <t>puls_1min ferdig</t>
  </si>
  <si>
    <t>puls_6min</t>
  </si>
  <si>
    <t>test_time</t>
  </si>
  <si>
    <t>fp</t>
  </si>
  <si>
    <t>steptest_kommentar</t>
  </si>
  <si>
    <t>Sixminsteptest</t>
  </si>
  <si>
    <t>År</t>
  </si>
  <si>
    <t>group</t>
  </si>
  <si>
    <t>test</t>
  </si>
  <si>
    <t>Sliten</t>
  </si>
  <si>
    <t>Mer_hvile</t>
  </si>
  <si>
    <t>Sovnig_dosig</t>
  </si>
  <si>
    <t>Problemer_starte_oppgaver</t>
  </si>
  <si>
    <t>Mangel_overskudd</t>
  </si>
  <si>
    <t>Redusert_styrke</t>
  </si>
  <si>
    <t>Svak</t>
  </si>
  <si>
    <t>Konsentrasjon</t>
  </si>
  <si>
    <t>Forsnakking</t>
  </si>
  <si>
    <t>Vanskelig_ord</t>
  </si>
  <si>
    <t>Hukommelse</t>
  </si>
  <si>
    <t>Dersom_sliten</t>
  </si>
  <si>
    <t>Dersom_sliten_hvor_mye</t>
  </si>
  <si>
    <t>sum_1-4</t>
  </si>
  <si>
    <t>Obs</t>
  </si>
  <si>
    <t>sum_0-3</t>
  </si>
  <si>
    <t>rand</t>
  </si>
  <si>
    <t/>
  </si>
  <si>
    <t>cellegift</t>
  </si>
  <si>
    <t>stråling</t>
  </si>
  <si>
    <t>immunterapi</t>
  </si>
  <si>
    <t>kirurgi</t>
  </si>
  <si>
    <t>stamcellebehandling</t>
  </si>
  <si>
    <t>legemidler</t>
  </si>
  <si>
    <t>annet</t>
  </si>
  <si>
    <t>treatment</t>
  </si>
  <si>
    <t>treat_subgr1</t>
  </si>
  <si>
    <t>treat_subgr2</t>
  </si>
  <si>
    <t>round (pilot, main_1, main_2)</t>
  </si>
  <si>
    <t>treat_sub</t>
  </si>
  <si>
    <t>dropout</t>
  </si>
  <si>
    <t>kjønn</t>
  </si>
  <si>
    <t>alder</t>
  </si>
  <si>
    <t>aldersgruppe_WHO</t>
  </si>
  <si>
    <t>sivilstatus</t>
  </si>
  <si>
    <t>utdanning</t>
  </si>
  <si>
    <t>by</t>
  </si>
  <si>
    <t>Kreftform_forenklet_utkast</t>
  </si>
  <si>
    <t>Kreftmedisin_JaNei</t>
  </si>
  <si>
    <t>Tilskudd_janei</t>
  </si>
  <si>
    <t>Behandling_aktiv=1</t>
  </si>
  <si>
    <t>dager siden siste behandling</t>
  </si>
  <si>
    <t>stedlig</t>
  </si>
  <si>
    <t>main_1</t>
  </si>
  <si>
    <t>y</t>
  </si>
  <si>
    <t>f</t>
  </si>
  <si>
    <t>eldre voksne</t>
  </si>
  <si>
    <t>LHR</t>
  </si>
  <si>
    <t>Brystkreft</t>
  </si>
  <si>
    <t>Ja</t>
  </si>
  <si>
    <t>digital</t>
  </si>
  <si>
    <t>Gynkreft</t>
  </si>
  <si>
    <t>Nei</t>
  </si>
  <si>
    <t>1</t>
  </si>
  <si>
    <t>7</t>
  </si>
  <si>
    <t>middelaldrende</t>
  </si>
  <si>
    <t>6</t>
  </si>
  <si>
    <t>Blodkreft</t>
  </si>
  <si>
    <t>5</t>
  </si>
  <si>
    <t>Journal</t>
  </si>
  <si>
    <t>unge voksne</t>
  </si>
  <si>
    <t>Lymfekreft</t>
  </si>
  <si>
    <t>m</t>
  </si>
  <si>
    <t>Prostata</t>
  </si>
  <si>
    <t>Munn og svelg</t>
  </si>
  <si>
    <t>3</t>
  </si>
  <si>
    <t>Mage-tarmkreft</t>
  </si>
  <si>
    <t>GJO</t>
  </si>
  <si>
    <t>Annet</t>
  </si>
  <si>
    <t>obs byttet fra sted til dig pga grense avstand</t>
  </si>
  <si>
    <t>4</t>
  </si>
  <si>
    <t>obs rand stedlig men byttet til dig pga avstand</t>
  </si>
  <si>
    <t>2</t>
  </si>
  <si>
    <t>Testikkelkreft</t>
  </si>
  <si>
    <t>Lungekreft</t>
  </si>
  <si>
    <t>Melanom</t>
  </si>
  <si>
    <t>main_2</t>
  </si>
  <si>
    <t>Beinkreft</t>
  </si>
  <si>
    <t>gamle eldre</t>
  </si>
  <si>
    <t>Nyrekreft</t>
  </si>
  <si>
    <t>Blastrom</t>
  </si>
  <si>
    <t>*dobbeltsjekk eksakt testdato</t>
  </si>
  <si>
    <t>nei</t>
  </si>
  <si>
    <t>papir?</t>
  </si>
  <si>
    <t>Bukspyttkjertelkreft</t>
  </si>
  <si>
    <t>Blærekreft</t>
  </si>
  <si>
    <t>vekt</t>
  </si>
  <si>
    <t>høyde</t>
  </si>
  <si>
    <t>waist_circ</t>
  </si>
  <si>
    <t>bp_systole</t>
  </si>
  <si>
    <t>bp_diastole</t>
  </si>
  <si>
    <t>kommentar</t>
  </si>
  <si>
    <t>NA</t>
  </si>
  <si>
    <t xml:space="preserve">nb 2 pretester, da dexa var i ustand ved første tidspunkt. Det er derfor tatt 2 vekt og høyre på FP. Bruk denne. </t>
  </si>
  <si>
    <t>FP028</t>
  </si>
  <si>
    <t xml:space="preserve">Pre </t>
  </si>
  <si>
    <t>FP029</t>
  </si>
  <si>
    <t>FP030</t>
  </si>
  <si>
    <t>FP044</t>
  </si>
  <si>
    <t>Pre</t>
  </si>
  <si>
    <t>FP045</t>
  </si>
  <si>
    <t>FP046</t>
  </si>
  <si>
    <t>FP047</t>
  </si>
  <si>
    <t>FP048</t>
  </si>
  <si>
    <t>FP061</t>
  </si>
  <si>
    <t>FP062</t>
  </si>
  <si>
    <t>FP063</t>
  </si>
  <si>
    <t>FP071</t>
  </si>
  <si>
    <t>FP072</t>
  </si>
  <si>
    <t>FP073</t>
  </si>
  <si>
    <t>FP074</t>
  </si>
  <si>
    <t>FP075</t>
  </si>
  <si>
    <t>FP076</t>
  </si>
  <si>
    <t>FP077</t>
  </si>
  <si>
    <t>FP078</t>
  </si>
  <si>
    <t>FP079</t>
  </si>
  <si>
    <t>FP080</t>
  </si>
  <si>
    <t>FP096</t>
  </si>
  <si>
    <t>FP097</t>
  </si>
  <si>
    <t>FP098</t>
  </si>
  <si>
    <t>FP099</t>
  </si>
  <si>
    <t>FP027</t>
  </si>
  <si>
    <t>session</t>
  </si>
  <si>
    <t>Count_Y</t>
  </si>
  <si>
    <t>Count_N</t>
  </si>
  <si>
    <t>Percent_Y</t>
  </si>
  <si>
    <t>group    week</t>
  </si>
  <si>
    <t>rand-digital</t>
  </si>
  <si>
    <t>yes</t>
  </si>
  <si>
    <t>no</t>
  </si>
  <si>
    <t>no?</t>
  </si>
  <si>
    <t>yes?</t>
  </si>
  <si>
    <t>uklar registrering</t>
  </si>
  <si>
    <t>digitalt</t>
  </si>
  <si>
    <t>registrering må hentes digitalt</t>
  </si>
  <si>
    <t>rand-onsite</t>
  </si>
  <si>
    <t xml:space="preserve">no/yes(selvtrening samme type øvelse) </t>
  </si>
  <si>
    <t xml:space="preserve">Veileder må konfereres. Har gjort selvtrening med samme type øvelser, da oppmøtedato ikke passet. </t>
  </si>
  <si>
    <t>Gruppe</t>
  </si>
  <si>
    <t>Gjennomsnitt</t>
  </si>
  <si>
    <t>Alle</t>
  </si>
  <si>
    <t>Gjennomførte økter (%)</t>
  </si>
  <si>
    <t>dropout?</t>
  </si>
  <si>
    <t>må plottes</t>
  </si>
  <si>
    <t>OBS!</t>
  </si>
  <si>
    <t>NB! fjern null hvis data mangler over</t>
  </si>
  <si>
    <t>2024+25</t>
  </si>
  <si>
    <t xml:space="preserve">digital </t>
  </si>
  <si>
    <t>år</t>
  </si>
  <si>
    <t>bare for FF</t>
  </si>
  <si>
    <t xml:space="preserve">totalt 18 dropout </t>
  </si>
  <si>
    <t>totalt fullført = 52</t>
  </si>
  <si>
    <t>BMI</t>
  </si>
  <si>
    <t>step-test</t>
  </si>
  <si>
    <t>fatigue</t>
  </si>
  <si>
    <t>029</t>
  </si>
  <si>
    <t>045</t>
  </si>
  <si>
    <t>047</t>
  </si>
  <si>
    <t>072</t>
  </si>
  <si>
    <t>077</t>
  </si>
  <si>
    <t>080</t>
  </si>
  <si>
    <t>098</t>
  </si>
  <si>
    <t>099</t>
  </si>
  <si>
    <t>027</t>
  </si>
  <si>
    <t>028</t>
  </si>
  <si>
    <t>030</t>
  </si>
  <si>
    <t>044</t>
  </si>
  <si>
    <t>046</t>
  </si>
  <si>
    <t>048</t>
  </si>
  <si>
    <t>061</t>
  </si>
  <si>
    <t>062</t>
  </si>
  <si>
    <t>063</t>
  </si>
  <si>
    <t>071</t>
  </si>
  <si>
    <t>073</t>
  </si>
  <si>
    <t>074</t>
  </si>
  <si>
    <t>075</t>
  </si>
  <si>
    <t>076</t>
  </si>
  <si>
    <t>078</t>
  </si>
  <si>
    <t>079</t>
  </si>
  <si>
    <t>096</t>
  </si>
  <si>
    <t>097</t>
  </si>
  <si>
    <t>undersøk</t>
  </si>
  <si>
    <t>lagt inn manuelt 11.03.26 fra dexa-maskin</t>
  </si>
  <si>
    <t xml:space="preserve">test </t>
  </si>
  <si>
    <t>også registrert 13.des, bruker data registrert 06.des</t>
  </si>
  <si>
    <t>FF og F, men fullført dexa og treningsint.</t>
  </si>
  <si>
    <t>F = fatigue</t>
  </si>
  <si>
    <t>FF = 6-min step test</t>
  </si>
  <si>
    <t>totalt fullført FF = 50 (- fp021) = n49</t>
  </si>
  <si>
    <t>incomplete</t>
  </si>
  <si>
    <t>result</t>
  </si>
  <si>
    <t>done</t>
  </si>
  <si>
    <t>missed</t>
  </si>
  <si>
    <t>percent</t>
  </si>
  <si>
    <t xml:space="preserve">uklar registrering </t>
  </si>
  <si>
    <t xml:space="preserve">registrering må hentes digitalt </t>
  </si>
  <si>
    <t>onsite</t>
  </si>
  <si>
    <t xml:space="preserve">oppført med pre og post for F, men skal ikkje inkluderes I analysen </t>
  </si>
  <si>
    <t xml:space="preserve">totalt fullført F = 50 </t>
  </si>
  <si>
    <t>fikk 19 på drop-out??</t>
  </si>
  <si>
    <t>ingrid har ikkje med - manglar post v FF</t>
  </si>
  <si>
    <t>mangla svar post F</t>
  </si>
  <si>
    <t>bmi</t>
  </si>
  <si>
    <t>Onsite</t>
  </si>
  <si>
    <t>Kreftform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</si>
</sst>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Times New Roman"/>
      <family val="1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charset val="1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sz val="12"/>
      <color theme="3" tint="0.74999237037263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rgb="FF356854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0">
    <xf numFmtId="0" fontId="0" fillId="0" borderId="0" xfId="0"/>
    <xf numFmtId="0" fontId="2" fillId="0" borderId="0" xfId="1"/>
    <xf numFmtId="49" fontId="2" fillId="0" borderId="0" xfId="1" applyNumberFormat="1"/>
    <xf numFmtId="0" fontId="3" fillId="0" borderId="1" xfId="1" applyFont="1" applyBorder="1"/>
    <xf numFmtId="0" fontId="3" fillId="0" borderId="2" xfId="1" applyFont="1" applyBorder="1" applyAlignment="1">
      <alignment horizontal="center"/>
    </xf>
    <xf numFmtId="0" fontId="2" fillId="0" borderId="2" xfId="1" applyBorder="1"/>
    <xf numFmtId="0" fontId="4" fillId="0" borderId="2" xfId="1" applyFont="1" applyBorder="1" applyAlignment="1">
      <alignment horizontal="left"/>
    </xf>
    <xf numFmtId="0" fontId="5" fillId="0" borderId="3" xfId="1" applyFont="1" applyBorder="1" applyAlignment="1">
      <alignment horizontal="center"/>
    </xf>
    <xf numFmtId="0" fontId="3" fillId="0" borderId="4" xfId="1" applyFont="1" applyBorder="1"/>
    <xf numFmtId="0" fontId="6" fillId="0" borderId="5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2" fillId="0" borderId="5" xfId="1" applyBorder="1"/>
    <xf numFmtId="0" fontId="4" fillId="0" borderId="5" xfId="1" applyFont="1" applyBorder="1" applyAlignment="1">
      <alignment horizontal="left"/>
    </xf>
    <xf numFmtId="0" fontId="5" fillId="0" borderId="6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0" fontId="7" fillId="0" borderId="5" xfId="1" applyFont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2" xfId="1" applyBorder="1" applyAlignment="1">
      <alignment horizontal="center"/>
    </xf>
    <xf numFmtId="0" fontId="2" fillId="0" borderId="7" xfId="1" applyBorder="1" applyAlignment="1">
      <alignment horizontal="center"/>
    </xf>
    <xf numFmtId="0" fontId="2" fillId="0" borderId="0" xfId="1" applyAlignment="1">
      <alignment horizontal="center"/>
    </xf>
    <xf numFmtId="0" fontId="2" fillId="0" borderId="8" xfId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2" fillId="2" borderId="0" xfId="1" applyFill="1"/>
    <xf numFmtId="49" fontId="2" fillId="0" borderId="0" xfId="1" applyNumberFormat="1" applyAlignment="1">
      <alignment horizontal="center" vertical="center"/>
    </xf>
    <xf numFmtId="0" fontId="2" fillId="3" borderId="0" xfId="1" applyFill="1"/>
    <xf numFmtId="0" fontId="9" fillId="0" borderId="0" xfId="1" applyFont="1"/>
    <xf numFmtId="2" fontId="2" fillId="0" borderId="0" xfId="1" applyNumberFormat="1"/>
    <xf numFmtId="0" fontId="2" fillId="4" borderId="0" xfId="1" applyFill="1"/>
    <xf numFmtId="0" fontId="10" fillId="0" borderId="0" xfId="1" applyFont="1"/>
    <xf numFmtId="0" fontId="2" fillId="5" borderId="0" xfId="1" applyFill="1"/>
    <xf numFmtId="0" fontId="2" fillId="0" borderId="0" xfId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12" fillId="0" borderId="0" xfId="1" applyFont="1"/>
    <xf numFmtId="0" fontId="13" fillId="0" borderId="0" xfId="1" applyFont="1" applyAlignment="1">
      <alignment horizontal="left" vertical="center" wrapText="1"/>
    </xf>
    <xf numFmtId="0" fontId="2" fillId="0" borderId="0" xfId="1" applyAlignment="1">
      <alignment horizontal="center" vertical="center"/>
    </xf>
    <xf numFmtId="14" fontId="2" fillId="0" borderId="0" xfId="1" applyNumberFormat="1"/>
    <xf numFmtId="49" fontId="14" fillId="0" borderId="0" xfId="1" applyNumberFormat="1" applyFont="1"/>
    <xf numFmtId="14" fontId="10" fillId="0" borderId="0" xfId="1" applyNumberFormat="1" applyFont="1"/>
    <xf numFmtId="0" fontId="11" fillId="0" borderId="5" xfId="1" applyFont="1" applyBorder="1"/>
    <xf numFmtId="0" fontId="10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0" xfId="1" applyFont="1"/>
    <xf numFmtId="0" fontId="14" fillId="0" borderId="0" xfId="1" applyFont="1"/>
    <xf numFmtId="0" fontId="2" fillId="6" borderId="9" xfId="1" applyFill="1" applyBorder="1"/>
    <xf numFmtId="0" fontId="2" fillId="6" borderId="0" xfId="1" applyFill="1"/>
    <xf numFmtId="0" fontId="2" fillId="0" borderId="0" xfId="1" applyAlignment="1">
      <alignment horizontal="right"/>
    </xf>
    <xf numFmtId="164" fontId="11" fillId="0" borderId="0" xfId="1" applyNumberFormat="1" applyFont="1"/>
    <xf numFmtId="0" fontId="2" fillId="3" borderId="0" xfId="1" applyFill="1" applyAlignment="1">
      <alignment horizontal="right"/>
    </xf>
    <xf numFmtId="0" fontId="10" fillId="0" borderId="0" xfId="1" applyFont="1" applyAlignment="1">
      <alignment horizontal="right"/>
    </xf>
    <xf numFmtId="0" fontId="2" fillId="7" borderId="0" xfId="1" applyFill="1"/>
    <xf numFmtId="0" fontId="2" fillId="7" borderId="0" xfId="1" applyFill="1" applyAlignment="1">
      <alignment horizontal="right"/>
    </xf>
    <xf numFmtId="0" fontId="2" fillId="8" borderId="0" xfId="1" applyFill="1"/>
    <xf numFmtId="0" fontId="13" fillId="0" borderId="5" xfId="1" applyFont="1" applyBorder="1" applyAlignment="1">
      <alignment horizontal="left" vertical="center" wrapText="1"/>
    </xf>
    <xf numFmtId="2" fontId="2" fillId="0" borderId="5" xfId="1" applyNumberFormat="1" applyBorder="1"/>
    <xf numFmtId="0" fontId="2" fillId="7" borderId="5" xfId="1" applyFill="1" applyBorder="1"/>
    <xf numFmtId="0" fontId="2" fillId="9" borderId="5" xfId="1" applyFill="1" applyBorder="1"/>
    <xf numFmtId="0" fontId="2" fillId="0" borderId="10" xfId="1" applyBorder="1" applyAlignment="1">
      <alignment horizontal="center"/>
    </xf>
    <xf numFmtId="0" fontId="2" fillId="0" borderId="11" xfId="1" applyBorder="1" applyAlignment="1">
      <alignment horizontal="center"/>
    </xf>
    <xf numFmtId="0" fontId="2" fillId="10" borderId="0" xfId="1" applyFill="1"/>
    <xf numFmtId="0" fontId="5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2" fillId="0" borderId="10" xfId="1" applyBorder="1"/>
    <xf numFmtId="0" fontId="3" fillId="0" borderId="0" xfId="1" applyFont="1" applyAlignment="1">
      <alignment horizontal="center"/>
    </xf>
    <xf numFmtId="0" fontId="2" fillId="0" borderId="12" xfId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2" fillId="0" borderId="13" xfId="1" applyBorder="1" applyAlignment="1">
      <alignment horizontal="center"/>
    </xf>
    <xf numFmtId="0" fontId="7" fillId="0" borderId="10" xfId="1" applyFont="1" applyBorder="1" applyAlignment="1">
      <alignment horizontal="center"/>
    </xf>
    <xf numFmtId="0" fontId="6" fillId="0" borderId="14" xfId="1" applyFont="1" applyBorder="1" applyAlignment="1">
      <alignment horizontal="left"/>
    </xf>
    <xf numFmtId="0" fontId="3" fillId="0" borderId="14" xfId="1" applyFont="1" applyBorder="1"/>
    <xf numFmtId="0" fontId="3" fillId="0" borderId="15" xfId="1" applyFont="1" applyBorder="1"/>
    <xf numFmtId="0" fontId="8" fillId="0" borderId="0" xfId="1" applyFont="1" applyAlignment="1">
      <alignment horizontal="center"/>
    </xf>
    <xf numFmtId="0" fontId="17" fillId="0" borderId="0" xfId="1" applyFont="1"/>
    <xf numFmtId="14" fontId="17" fillId="0" borderId="0" xfId="1" applyNumberFormat="1" applyFont="1"/>
    <xf numFmtId="14" fontId="16" fillId="0" borderId="0" xfId="1" applyNumberFormat="1" applyFont="1"/>
    <xf numFmtId="0" fontId="18" fillId="0" borderId="0" xfId="0" applyFont="1"/>
    <xf numFmtId="0" fontId="0" fillId="0" borderId="16" xfId="0" applyBorder="1"/>
    <xf numFmtId="0" fontId="0" fillId="10" borderId="0" xfId="0" applyFill="1"/>
    <xf numFmtId="0" fontId="2" fillId="10" borderId="0" xfId="1" applyFill="1" applyAlignment="1">
      <alignment horizontal="center"/>
    </xf>
    <xf numFmtId="0" fontId="3" fillId="10" borderId="0" xfId="1" applyFont="1" applyFill="1" applyAlignment="1">
      <alignment horizontal="center"/>
    </xf>
    <xf numFmtId="0" fontId="11" fillId="10" borderId="0" xfId="1" applyFont="1" applyFill="1"/>
    <xf numFmtId="0" fontId="13" fillId="0" borderId="0" xfId="1" quotePrefix="1" applyFont="1" applyAlignment="1">
      <alignment horizontal="left" vertical="center" wrapText="1"/>
    </xf>
    <xf numFmtId="0" fontId="11" fillId="0" borderId="0" xfId="1" applyFont="1" applyAlignment="1">
      <alignment horizontal="right"/>
    </xf>
    <xf numFmtId="0" fontId="2" fillId="0" borderId="17" xfId="1" applyBorder="1"/>
    <xf numFmtId="0" fontId="2" fillId="0" borderId="17" xfId="1" applyBorder="1" applyAlignment="1">
      <alignment horizontal="center"/>
    </xf>
    <xf numFmtId="49" fontId="2" fillId="0" borderId="17" xfId="1" applyNumberFormat="1" applyBorder="1" applyAlignment="1">
      <alignment horizontal="center" vertical="center"/>
    </xf>
    <xf numFmtId="0" fontId="11" fillId="0" borderId="17" xfId="1" applyFont="1" applyBorder="1"/>
    <xf numFmtId="0" fontId="2" fillId="0" borderId="17" xfId="1" applyBorder="1" applyAlignment="1">
      <alignment horizontal="right"/>
    </xf>
    <xf numFmtId="49" fontId="2" fillId="0" borderId="17" xfId="1" applyNumberFormat="1" applyBorder="1"/>
    <xf numFmtId="0" fontId="2" fillId="0" borderId="18" xfId="1" applyBorder="1"/>
    <xf numFmtId="0" fontId="2" fillId="0" borderId="16" xfId="1" applyBorder="1"/>
    <xf numFmtId="0" fontId="20" fillId="0" borderId="0" xfId="1" applyFont="1"/>
    <xf numFmtId="49" fontId="2" fillId="0" borderId="0" xfId="1" applyNumberFormat="1" applyAlignment="1">
      <alignment horizontal="center"/>
    </xf>
    <xf numFmtId="49" fontId="8" fillId="0" borderId="0" xfId="1" applyNumberFormat="1" applyFont="1" applyAlignment="1">
      <alignment horizontal="center"/>
    </xf>
    <xf numFmtId="0" fontId="8" fillId="0" borderId="0" xfId="1" applyFont="1"/>
    <xf numFmtId="0" fontId="4" fillId="0" borderId="0" xfId="1" applyFont="1" applyAlignment="1">
      <alignment horizontal="center"/>
    </xf>
    <xf numFmtId="0" fontId="2" fillId="0" borderId="18" xfId="1" applyBorder="1" applyAlignment="1">
      <alignment horizontal="center"/>
    </xf>
    <xf numFmtId="49" fontId="2" fillId="0" borderId="16" xfId="1" applyNumberFormat="1" applyBorder="1" applyAlignment="1">
      <alignment horizontal="center"/>
    </xf>
    <xf numFmtId="0" fontId="2" fillId="0" borderId="16" xfId="1" applyBorder="1" applyAlignment="1">
      <alignment horizontal="center"/>
    </xf>
    <xf numFmtId="16" fontId="2" fillId="0" borderId="0" xfId="1" applyNumberFormat="1"/>
    <xf numFmtId="0" fontId="5" fillId="0" borderId="18" xfId="1" applyFont="1" applyBorder="1" applyAlignment="1">
      <alignment horizontal="center"/>
    </xf>
    <xf numFmtId="0" fontId="4" fillId="0" borderId="18" xfId="1" applyFont="1" applyBorder="1" applyAlignment="1">
      <alignment horizontal="left"/>
    </xf>
    <xf numFmtId="0" fontId="6" fillId="0" borderId="18" xfId="1" applyFont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 vertical="center" wrapText="1"/>
    </xf>
    <xf numFmtId="0" fontId="1" fillId="0" borderId="0" xfId="0" applyFont="1"/>
    <xf numFmtId="49" fontId="2" fillId="0" borderId="16" xfId="1" applyNumberFormat="1" applyBorder="1"/>
    <xf numFmtId="0" fontId="0" fillId="3" borderId="0" xfId="0" applyFill="1"/>
    <xf numFmtId="0" fontId="19" fillId="11" borderId="0" xfId="0" applyFont="1" applyFill="1"/>
    <xf numFmtId="0" fontId="0" fillId="11" borderId="0" xfId="0" applyFill="1"/>
    <xf numFmtId="0" fontId="13" fillId="10" borderId="0" xfId="1" applyFont="1" applyFill="1" applyAlignment="1">
      <alignment horizontal="left" vertical="center" wrapText="1"/>
    </xf>
    <xf numFmtId="0" fontId="0" fillId="12" borderId="0" xfId="0" applyFill="1"/>
    <xf numFmtId="0" fontId="21" fillId="0" borderId="0" xfId="0" applyFont="1"/>
    <xf numFmtId="0" fontId="2" fillId="0" borderId="19" xfId="1" applyBorder="1"/>
    <xf numFmtId="49" fontId="2" fillId="0" borderId="19" xfId="1" applyNumberFormat="1" applyBorder="1" applyAlignment="1">
      <alignment horizontal="center"/>
    </xf>
    <xf numFmtId="0" fontId="2" fillId="0" borderId="19" xfId="1" applyBorder="1" applyAlignment="1">
      <alignment horizontal="center"/>
    </xf>
  </cellXfs>
  <cellStyles count="2">
    <cellStyle name="Normal" xfId="0" builtinId="0"/>
    <cellStyle name="Normal 2" xfId="1" xr:uid="{6EDF41CE-13F9-1B40-814E-23899B557F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4967-A256-104B-9DAA-8B1F4B784A05}">
  <dimension ref="A1:J25"/>
  <sheetViews>
    <sheetView workbookViewId="0">
      <selection activeCell="C16" sqref="C16"/>
    </sheetView>
  </sheetViews>
  <sheetFormatPr baseColWidth="10" defaultRowHeight="16" x14ac:dyDescent="0.2"/>
  <sheetData>
    <row r="1" spans="1:9" x14ac:dyDescent="0.2">
      <c r="A1" s="79" t="s">
        <v>209</v>
      </c>
      <c r="B1" s="79" t="s">
        <v>55</v>
      </c>
      <c r="C1" s="79" t="s">
        <v>86</v>
      </c>
    </row>
    <row r="2" spans="1:9" x14ac:dyDescent="0.2">
      <c r="A2">
        <v>2024</v>
      </c>
      <c r="B2">
        <v>11</v>
      </c>
      <c r="C2" t="s">
        <v>103</v>
      </c>
    </row>
    <row r="3" spans="1:9" x14ac:dyDescent="0.2">
      <c r="A3">
        <v>2024</v>
      </c>
      <c r="B3">
        <v>15</v>
      </c>
      <c r="C3" t="s">
        <v>111</v>
      </c>
    </row>
    <row r="4" spans="1:9" x14ac:dyDescent="0.2">
      <c r="A4" s="81">
        <v>2024</v>
      </c>
      <c r="B4" s="81">
        <v>21</v>
      </c>
      <c r="C4" s="81" t="s">
        <v>111</v>
      </c>
      <c r="D4" s="81" t="s">
        <v>210</v>
      </c>
    </row>
    <row r="5" spans="1:9" x14ac:dyDescent="0.2">
      <c r="A5" s="81">
        <v>2024</v>
      </c>
      <c r="B5" s="81">
        <v>26</v>
      </c>
      <c r="C5" s="81" t="s">
        <v>103</v>
      </c>
      <c r="D5" s="81" t="s">
        <v>262</v>
      </c>
      <c r="E5" s="81"/>
      <c r="I5" t="s">
        <v>247</v>
      </c>
    </row>
    <row r="6" spans="1:9" x14ac:dyDescent="0.2">
      <c r="A6">
        <v>2024</v>
      </c>
      <c r="B6">
        <v>31</v>
      </c>
      <c r="C6" t="s">
        <v>208</v>
      </c>
      <c r="I6" t="s">
        <v>248</v>
      </c>
    </row>
    <row r="7" spans="1:9" x14ac:dyDescent="0.2">
      <c r="A7">
        <v>2024</v>
      </c>
      <c r="B7">
        <v>33</v>
      </c>
      <c r="C7" t="s">
        <v>111</v>
      </c>
    </row>
    <row r="8" spans="1:9" x14ac:dyDescent="0.2">
      <c r="A8">
        <v>2024</v>
      </c>
      <c r="B8">
        <v>36</v>
      </c>
      <c r="C8" t="s">
        <v>103</v>
      </c>
    </row>
    <row r="9" spans="1:9" x14ac:dyDescent="0.2">
      <c r="A9">
        <v>2024</v>
      </c>
      <c r="B9">
        <v>41</v>
      </c>
      <c r="C9" t="s">
        <v>111</v>
      </c>
    </row>
    <row r="10" spans="1:9" x14ac:dyDescent="0.2">
      <c r="A10">
        <v>2024</v>
      </c>
      <c r="B10">
        <v>42</v>
      </c>
      <c r="C10" t="s">
        <v>111</v>
      </c>
    </row>
    <row r="11" spans="1:9" x14ac:dyDescent="0.2">
      <c r="A11">
        <v>2024</v>
      </c>
      <c r="B11">
        <v>53</v>
      </c>
      <c r="C11" t="s">
        <v>103</v>
      </c>
    </row>
    <row r="12" spans="1:9" x14ac:dyDescent="0.2">
      <c r="A12">
        <v>2024</v>
      </c>
      <c r="B12">
        <v>56</v>
      </c>
      <c r="C12" t="s">
        <v>103</v>
      </c>
    </row>
    <row r="13" spans="1:9" ht="17" thickBot="1" x14ac:dyDescent="0.25">
      <c r="A13" s="80">
        <v>2024</v>
      </c>
      <c r="B13" s="80">
        <v>60</v>
      </c>
      <c r="C13" s="80" t="s">
        <v>111</v>
      </c>
    </row>
    <row r="14" spans="1:9" x14ac:dyDescent="0.2">
      <c r="A14">
        <v>2025</v>
      </c>
      <c r="B14">
        <v>29</v>
      </c>
      <c r="C14" t="s">
        <v>111</v>
      </c>
    </row>
    <row r="15" spans="1:9" x14ac:dyDescent="0.2">
      <c r="A15" s="81">
        <v>2025</v>
      </c>
      <c r="B15" s="81">
        <v>30</v>
      </c>
      <c r="C15" s="81" t="s">
        <v>103</v>
      </c>
      <c r="D15" s="81" t="s">
        <v>210</v>
      </c>
    </row>
    <row r="16" spans="1:9" x14ac:dyDescent="0.2">
      <c r="A16">
        <v>2025</v>
      </c>
      <c r="B16">
        <v>45</v>
      </c>
      <c r="C16" t="s">
        <v>111</v>
      </c>
    </row>
    <row r="17" spans="1:10" x14ac:dyDescent="0.2">
      <c r="A17">
        <v>2025</v>
      </c>
      <c r="B17">
        <v>47</v>
      </c>
      <c r="C17" t="s">
        <v>111</v>
      </c>
    </row>
    <row r="18" spans="1:10" x14ac:dyDescent="0.2">
      <c r="A18">
        <v>2025</v>
      </c>
      <c r="B18">
        <v>72</v>
      </c>
      <c r="C18" t="s">
        <v>111</v>
      </c>
      <c r="I18" s="79" t="s">
        <v>211</v>
      </c>
      <c r="J18" s="79"/>
    </row>
    <row r="19" spans="1:10" x14ac:dyDescent="0.2">
      <c r="A19" s="112">
        <v>2025</v>
      </c>
      <c r="B19" s="112">
        <v>77</v>
      </c>
      <c r="C19" s="112" t="s">
        <v>111</v>
      </c>
      <c r="D19" s="112" t="s">
        <v>246</v>
      </c>
      <c r="E19" s="113"/>
      <c r="F19" s="113"/>
      <c r="I19" s="79" t="s">
        <v>212</v>
      </c>
      <c r="J19" s="79"/>
    </row>
    <row r="20" spans="1:10" x14ac:dyDescent="0.2">
      <c r="A20" s="81"/>
      <c r="B20" s="81">
        <v>79</v>
      </c>
      <c r="C20" s="81"/>
      <c r="D20" s="81" t="s">
        <v>210</v>
      </c>
    </row>
    <row r="21" spans="1:10" x14ac:dyDescent="0.2">
      <c r="A21" s="111">
        <v>2025</v>
      </c>
      <c r="B21" s="111">
        <v>80</v>
      </c>
      <c r="C21" s="111" t="s">
        <v>111</v>
      </c>
      <c r="D21" t="s">
        <v>258</v>
      </c>
    </row>
    <row r="22" spans="1:10" x14ac:dyDescent="0.2">
      <c r="A22">
        <v>2025</v>
      </c>
      <c r="B22">
        <v>98</v>
      </c>
      <c r="C22" t="s">
        <v>111</v>
      </c>
    </row>
    <row r="23" spans="1:10" x14ac:dyDescent="0.2">
      <c r="A23">
        <v>2025</v>
      </c>
      <c r="B23">
        <v>99</v>
      </c>
      <c r="C23" t="s">
        <v>111</v>
      </c>
    </row>
    <row r="24" spans="1:10" x14ac:dyDescent="0.2">
      <c r="I24" t="s">
        <v>249</v>
      </c>
    </row>
    <row r="25" spans="1:10" x14ac:dyDescent="0.2">
      <c r="I25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4212-A8C6-5B4D-A5B9-0F6C2F805501}">
  <dimension ref="A1:AE75"/>
  <sheetViews>
    <sheetView workbookViewId="0">
      <pane ySplit="2" topLeftCell="A30" activePane="bottomLeft" state="frozen"/>
      <selection pane="bottomLeft" activeCell="O70" sqref="O70"/>
    </sheetView>
  </sheetViews>
  <sheetFormatPr baseColWidth="10" defaultRowHeight="15" x14ac:dyDescent="0.2"/>
  <cols>
    <col min="1" max="1" width="10.83203125" style="1"/>
    <col min="2" max="10" width="10.83203125" style="20"/>
    <col min="11" max="11" width="17.33203125" style="20" bestFit="1" customWidth="1"/>
    <col min="12" max="14" width="10.83203125" style="1"/>
    <col min="15" max="15" width="22.5" style="1" bestFit="1" customWidth="1"/>
    <col min="16" max="22" width="10.83203125" style="1"/>
    <col min="23" max="23" width="17.1640625" style="1" bestFit="1" customWidth="1"/>
    <col min="24" max="24" width="13.1640625" style="1" bestFit="1" customWidth="1"/>
    <col min="25" max="25" width="17.5" style="1" customWidth="1"/>
    <col min="26" max="16384" width="10.83203125" style="1"/>
  </cols>
  <sheetData>
    <row r="1" spans="1:27" x14ac:dyDescent="0.2">
      <c r="A1" s="1" t="s">
        <v>58</v>
      </c>
      <c r="B1" s="20" t="s">
        <v>55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20" t="s">
        <v>92</v>
      </c>
      <c r="J1" s="20" t="s">
        <v>93</v>
      </c>
      <c r="K1" s="20" t="s">
        <v>94</v>
      </c>
      <c r="L1" s="1" t="s">
        <v>95</v>
      </c>
      <c r="M1" s="1" t="s">
        <v>96</v>
      </c>
      <c r="N1" s="1" t="s">
        <v>97</v>
      </c>
      <c r="O1" s="31" t="s">
        <v>265</v>
      </c>
      <c r="P1" s="30" t="s">
        <v>79</v>
      </c>
      <c r="Q1" s="30" t="s">
        <v>80</v>
      </c>
      <c r="R1" s="30" t="s">
        <v>81</v>
      </c>
      <c r="S1" s="30" t="s">
        <v>82</v>
      </c>
      <c r="T1" s="30" t="s">
        <v>83</v>
      </c>
      <c r="U1" s="30" t="s">
        <v>84</v>
      </c>
      <c r="V1" s="30" t="s">
        <v>85</v>
      </c>
      <c r="W1" s="31" t="s">
        <v>99</v>
      </c>
      <c r="X1" s="31" t="s">
        <v>100</v>
      </c>
      <c r="Y1" s="1" t="s">
        <v>101</v>
      </c>
      <c r="Z1" s="1" t="s">
        <v>102</v>
      </c>
    </row>
    <row r="2" spans="1:27" x14ac:dyDescent="0.2">
      <c r="A2" s="1">
        <v>2024</v>
      </c>
      <c r="B2" s="25" t="s">
        <v>51</v>
      </c>
      <c r="C2" s="1" t="s">
        <v>103</v>
      </c>
      <c r="D2" s="2" t="s">
        <v>77</v>
      </c>
      <c r="E2" s="1"/>
      <c r="F2" s="2" t="s">
        <v>104</v>
      </c>
      <c r="G2" s="1"/>
      <c r="H2" s="1" t="s">
        <v>105</v>
      </c>
      <c r="I2" s="2" t="s">
        <v>106</v>
      </c>
      <c r="J2" s="1"/>
      <c r="K2" s="1" t="s">
        <v>107</v>
      </c>
      <c r="L2" s="32">
        <v>6</v>
      </c>
      <c r="M2" s="32">
        <v>3</v>
      </c>
      <c r="N2" s="1" t="s">
        <v>108</v>
      </c>
      <c r="O2" s="1" t="s">
        <v>109</v>
      </c>
      <c r="P2" s="20"/>
      <c r="Q2" s="20">
        <v>1</v>
      </c>
      <c r="R2" s="20"/>
      <c r="S2" s="20">
        <v>1</v>
      </c>
      <c r="T2" s="20"/>
      <c r="U2" s="20"/>
      <c r="V2" s="20"/>
      <c r="W2" s="1" t="s">
        <v>110</v>
      </c>
      <c r="Y2" s="20">
        <v>2</v>
      </c>
      <c r="Z2" s="1">
        <v>191</v>
      </c>
    </row>
    <row r="3" spans="1:27" x14ac:dyDescent="0.2">
      <c r="A3" s="1">
        <v>2024</v>
      </c>
      <c r="B3" s="25" t="s">
        <v>38</v>
      </c>
      <c r="C3" s="1" t="s">
        <v>111</v>
      </c>
      <c r="D3" s="2" t="s">
        <v>77</v>
      </c>
      <c r="E3" s="1"/>
      <c r="F3" s="2" t="s">
        <v>104</v>
      </c>
      <c r="G3" s="1"/>
      <c r="H3" s="1"/>
      <c r="I3" s="2" t="s">
        <v>106</v>
      </c>
      <c r="J3" s="33"/>
      <c r="K3" s="33" t="s">
        <v>107</v>
      </c>
      <c r="L3" s="32">
        <v>2</v>
      </c>
      <c r="M3" s="32">
        <v>6</v>
      </c>
      <c r="N3" s="1" t="s">
        <v>108</v>
      </c>
      <c r="O3" s="1" t="s">
        <v>112</v>
      </c>
      <c r="P3" s="20">
        <v>1</v>
      </c>
      <c r="Q3" s="20"/>
      <c r="R3" s="20"/>
      <c r="S3" s="20"/>
      <c r="T3" s="20"/>
      <c r="U3" s="20"/>
      <c r="V3" s="20"/>
      <c r="W3" s="1" t="s">
        <v>110</v>
      </c>
      <c r="Y3" s="20">
        <v>2</v>
      </c>
      <c r="Z3" s="1">
        <v>50</v>
      </c>
    </row>
    <row r="4" spans="1:27" x14ac:dyDescent="0.2">
      <c r="A4" s="1">
        <v>2024</v>
      </c>
      <c r="B4" s="25" t="s">
        <v>37</v>
      </c>
      <c r="C4" s="1" t="s">
        <v>103</v>
      </c>
      <c r="D4" s="2" t="s">
        <v>77</v>
      </c>
      <c r="E4" s="1"/>
      <c r="F4" s="2" t="s">
        <v>104</v>
      </c>
      <c r="G4" s="1"/>
      <c r="H4" s="1"/>
      <c r="I4" s="2" t="s">
        <v>106</v>
      </c>
      <c r="J4" s="33"/>
      <c r="K4" s="33" t="s">
        <v>107</v>
      </c>
      <c r="L4" s="32">
        <v>6</v>
      </c>
      <c r="M4" s="32">
        <v>3</v>
      </c>
      <c r="N4" s="1" t="s">
        <v>108</v>
      </c>
      <c r="O4" s="1" t="s">
        <v>112</v>
      </c>
      <c r="P4" s="20">
        <v>1</v>
      </c>
      <c r="Q4" s="20"/>
      <c r="R4" s="20"/>
      <c r="S4" s="20"/>
      <c r="T4" s="20"/>
      <c r="U4" s="20"/>
      <c r="V4" s="20"/>
      <c r="W4" s="1" t="s">
        <v>113</v>
      </c>
      <c r="Y4" s="20">
        <v>2</v>
      </c>
      <c r="Z4" s="1">
        <v>521</v>
      </c>
    </row>
    <row r="5" spans="1:27" x14ac:dyDescent="0.2">
      <c r="A5" s="1">
        <v>2024</v>
      </c>
      <c r="B5" s="25" t="s">
        <v>36</v>
      </c>
      <c r="C5" s="1" t="s">
        <v>111</v>
      </c>
      <c r="D5" s="2" t="s">
        <v>77</v>
      </c>
      <c r="E5" s="1"/>
      <c r="F5" s="2" t="s">
        <v>104</v>
      </c>
      <c r="G5" s="1"/>
      <c r="H5" s="1"/>
      <c r="I5" s="2" t="s">
        <v>106</v>
      </c>
      <c r="J5" s="33"/>
      <c r="K5" s="33" t="s">
        <v>107</v>
      </c>
      <c r="L5" s="32">
        <v>2</v>
      </c>
      <c r="M5" s="32">
        <v>7</v>
      </c>
      <c r="N5" s="1" t="s">
        <v>108</v>
      </c>
      <c r="O5" s="1" t="s">
        <v>109</v>
      </c>
      <c r="P5" s="20">
        <v>1</v>
      </c>
      <c r="Q5" s="20">
        <v>1</v>
      </c>
      <c r="R5" s="20">
        <v>1</v>
      </c>
      <c r="S5" s="20">
        <v>1</v>
      </c>
      <c r="T5" s="20"/>
      <c r="U5" s="20"/>
      <c r="V5" s="20"/>
      <c r="W5" s="1" t="s">
        <v>110</v>
      </c>
      <c r="Y5" s="20">
        <v>2</v>
      </c>
      <c r="Z5" s="33">
        <v>115</v>
      </c>
      <c r="AA5" s="30"/>
    </row>
    <row r="6" spans="1:27" s="30" customFormat="1" x14ac:dyDescent="0.2">
      <c r="A6" s="1">
        <v>2024</v>
      </c>
      <c r="B6" s="20" t="s">
        <v>50</v>
      </c>
      <c r="C6" s="1" t="s">
        <v>111</v>
      </c>
      <c r="D6" s="2" t="s">
        <v>77</v>
      </c>
      <c r="E6" s="1"/>
      <c r="F6" s="2" t="s">
        <v>104</v>
      </c>
      <c r="G6" s="1"/>
      <c r="H6" s="1" t="s">
        <v>105</v>
      </c>
      <c r="I6" s="2" t="s">
        <v>106</v>
      </c>
      <c r="J6" s="33"/>
      <c r="K6" s="33" t="s">
        <v>107</v>
      </c>
      <c r="L6" s="1" t="s">
        <v>114</v>
      </c>
      <c r="M6" s="1" t="s">
        <v>115</v>
      </c>
      <c r="N6" s="1" t="s">
        <v>108</v>
      </c>
      <c r="O6" s="1" t="s">
        <v>109</v>
      </c>
      <c r="P6" s="20">
        <v>0</v>
      </c>
      <c r="Q6" s="20">
        <v>1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1" t="s">
        <v>110</v>
      </c>
      <c r="X6" s="1"/>
      <c r="Y6" s="20">
        <v>2</v>
      </c>
      <c r="Z6" s="1">
        <v>1546</v>
      </c>
      <c r="AA6" s="1"/>
    </row>
    <row r="7" spans="1:27" x14ac:dyDescent="0.2">
      <c r="A7" s="1">
        <v>2024</v>
      </c>
      <c r="B7" s="20" t="s">
        <v>35</v>
      </c>
      <c r="C7" s="1" t="s">
        <v>111</v>
      </c>
      <c r="D7" s="2" t="s">
        <v>77</v>
      </c>
      <c r="E7" s="1"/>
      <c r="F7" s="2" t="s">
        <v>104</v>
      </c>
      <c r="G7" s="1"/>
      <c r="H7" s="1"/>
      <c r="I7" s="2" t="s">
        <v>106</v>
      </c>
      <c r="J7" s="33"/>
      <c r="K7" s="33" t="s">
        <v>116</v>
      </c>
      <c r="L7" s="1" t="s">
        <v>117</v>
      </c>
      <c r="M7" s="1" t="s">
        <v>117</v>
      </c>
      <c r="N7" s="1" t="s">
        <v>108</v>
      </c>
      <c r="O7" s="1" t="s">
        <v>109</v>
      </c>
      <c r="P7" s="20">
        <v>0</v>
      </c>
      <c r="Q7" s="20">
        <v>1</v>
      </c>
      <c r="R7" s="20">
        <v>0</v>
      </c>
      <c r="S7" s="20">
        <v>1</v>
      </c>
      <c r="T7" s="20">
        <v>0</v>
      </c>
      <c r="U7" s="20">
        <v>1</v>
      </c>
      <c r="V7" s="20">
        <v>0</v>
      </c>
      <c r="W7" s="1" t="s">
        <v>110</v>
      </c>
      <c r="Y7" s="20">
        <v>2</v>
      </c>
      <c r="Z7" s="1">
        <v>1696</v>
      </c>
    </row>
    <row r="8" spans="1:27" x14ac:dyDescent="0.2">
      <c r="A8" s="1">
        <v>2024</v>
      </c>
      <c r="B8" s="20" t="s">
        <v>34</v>
      </c>
      <c r="C8" s="1" t="s">
        <v>111</v>
      </c>
      <c r="D8" s="2" t="s">
        <v>77</v>
      </c>
      <c r="E8" s="1"/>
      <c r="F8" s="2" t="s">
        <v>104</v>
      </c>
      <c r="G8" s="1"/>
      <c r="H8" s="1"/>
      <c r="I8" s="2" t="s">
        <v>106</v>
      </c>
      <c r="J8" s="33"/>
      <c r="K8" s="33" t="s">
        <v>116</v>
      </c>
      <c r="L8" s="1" t="s">
        <v>117</v>
      </c>
      <c r="M8" s="1" t="s">
        <v>115</v>
      </c>
      <c r="N8" s="1" t="s">
        <v>108</v>
      </c>
      <c r="O8" s="1" t="s">
        <v>118</v>
      </c>
      <c r="P8" s="20">
        <v>1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1" t="s">
        <v>113</v>
      </c>
      <c r="Y8" s="20">
        <v>2</v>
      </c>
      <c r="Z8" s="1">
        <v>2086</v>
      </c>
    </row>
    <row r="9" spans="1:27" x14ac:dyDescent="0.2">
      <c r="A9" s="1">
        <v>2024</v>
      </c>
      <c r="B9" s="34" t="s">
        <v>33</v>
      </c>
      <c r="C9" s="35" t="s">
        <v>103</v>
      </c>
      <c r="D9" s="2" t="s">
        <v>77</v>
      </c>
      <c r="E9" s="1"/>
      <c r="F9" s="2" t="s">
        <v>104</v>
      </c>
      <c r="G9" s="1"/>
      <c r="H9" s="1"/>
      <c r="I9" s="2" t="s">
        <v>106</v>
      </c>
      <c r="J9" s="33"/>
      <c r="K9" s="33" t="s">
        <v>107</v>
      </c>
      <c r="L9" s="33" t="s">
        <v>119</v>
      </c>
      <c r="M9" s="33" t="s">
        <v>115</v>
      </c>
      <c r="N9" s="33" t="s">
        <v>108</v>
      </c>
      <c r="O9" s="33" t="s">
        <v>109</v>
      </c>
      <c r="P9" s="34">
        <v>0</v>
      </c>
      <c r="Q9" s="34">
        <v>1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3" t="s">
        <v>113</v>
      </c>
      <c r="X9" s="33"/>
      <c r="Y9" s="34">
        <v>2</v>
      </c>
      <c r="Z9" s="33">
        <v>1950</v>
      </c>
    </row>
    <row r="10" spans="1:27" x14ac:dyDescent="0.2">
      <c r="A10" s="1">
        <v>2024</v>
      </c>
      <c r="B10" s="20" t="s">
        <v>32</v>
      </c>
      <c r="C10" s="1" t="s">
        <v>103</v>
      </c>
      <c r="D10" s="2" t="s">
        <v>77</v>
      </c>
      <c r="E10" s="1"/>
      <c r="F10" s="2" t="s">
        <v>104</v>
      </c>
      <c r="G10" s="1"/>
      <c r="H10" s="1"/>
      <c r="I10" s="2" t="s">
        <v>106</v>
      </c>
      <c r="J10" s="33"/>
      <c r="K10" s="33" t="s">
        <v>116</v>
      </c>
      <c r="L10" s="1" t="s">
        <v>117</v>
      </c>
      <c r="M10" s="1" t="s">
        <v>115</v>
      </c>
      <c r="N10" s="1" t="s">
        <v>108</v>
      </c>
      <c r="O10" s="1" t="s">
        <v>109</v>
      </c>
      <c r="P10" s="20">
        <v>1</v>
      </c>
      <c r="Q10" s="20">
        <v>1</v>
      </c>
      <c r="R10" s="20">
        <v>0</v>
      </c>
      <c r="S10" s="20">
        <v>1</v>
      </c>
      <c r="T10" s="20">
        <v>0</v>
      </c>
      <c r="U10" s="20">
        <v>1</v>
      </c>
      <c r="V10" s="20">
        <v>0</v>
      </c>
      <c r="W10" s="1" t="s">
        <v>110</v>
      </c>
      <c r="Y10" s="20">
        <v>2</v>
      </c>
      <c r="Z10" s="1" t="s">
        <v>120</v>
      </c>
    </row>
    <row r="11" spans="1:27" x14ac:dyDescent="0.2">
      <c r="A11" s="1">
        <v>2024</v>
      </c>
      <c r="B11" s="20" t="s">
        <v>31</v>
      </c>
      <c r="C11" s="1" t="s">
        <v>103</v>
      </c>
      <c r="D11" s="2" t="s">
        <v>77</v>
      </c>
      <c r="E11" s="1"/>
      <c r="F11" s="2" t="s">
        <v>104</v>
      </c>
      <c r="G11" s="1"/>
      <c r="H11" s="1"/>
      <c r="I11" s="2" t="s">
        <v>106</v>
      </c>
      <c r="J11" s="33"/>
      <c r="K11" s="33" t="s">
        <v>121</v>
      </c>
      <c r="L11" s="1" t="s">
        <v>119</v>
      </c>
      <c r="M11" s="1" t="s">
        <v>117</v>
      </c>
      <c r="N11" s="1" t="s">
        <v>108</v>
      </c>
      <c r="O11" s="1" t="s">
        <v>122</v>
      </c>
      <c r="P11" s="20">
        <v>1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1" t="s">
        <v>113</v>
      </c>
      <c r="Y11" s="20">
        <v>2</v>
      </c>
      <c r="Z11" s="1">
        <v>120</v>
      </c>
    </row>
    <row r="12" spans="1:27" x14ac:dyDescent="0.2">
      <c r="A12" s="1">
        <v>2024</v>
      </c>
      <c r="B12" s="25" t="s">
        <v>30</v>
      </c>
      <c r="C12" s="1" t="s">
        <v>111</v>
      </c>
      <c r="D12" s="2" t="s">
        <v>77</v>
      </c>
      <c r="E12" s="1"/>
      <c r="F12" s="2" t="s">
        <v>104</v>
      </c>
      <c r="G12" s="1"/>
      <c r="H12" s="1"/>
      <c r="I12" s="2" t="s">
        <v>123</v>
      </c>
      <c r="J12" s="33"/>
      <c r="K12" s="33" t="s">
        <v>107</v>
      </c>
      <c r="L12" s="32">
        <v>6</v>
      </c>
      <c r="M12" s="32">
        <v>4</v>
      </c>
      <c r="N12" s="1" t="s">
        <v>108</v>
      </c>
      <c r="O12" s="1" t="s">
        <v>118</v>
      </c>
      <c r="P12" s="20">
        <v>1</v>
      </c>
      <c r="Q12" s="20"/>
      <c r="R12" s="20"/>
      <c r="S12" s="20"/>
      <c r="T12" s="20"/>
      <c r="U12" s="20"/>
      <c r="V12" s="20"/>
      <c r="W12" s="1" t="s">
        <v>113</v>
      </c>
      <c r="Y12" s="20">
        <v>2</v>
      </c>
      <c r="Z12" s="1">
        <v>1906</v>
      </c>
    </row>
    <row r="13" spans="1:27" x14ac:dyDescent="0.2">
      <c r="A13" s="1">
        <v>2024</v>
      </c>
      <c r="B13" s="25" t="s">
        <v>29</v>
      </c>
      <c r="C13" s="1" t="s">
        <v>111</v>
      </c>
      <c r="D13" s="2" t="s">
        <v>77</v>
      </c>
      <c r="E13" s="1"/>
      <c r="F13" s="2" t="s">
        <v>104</v>
      </c>
      <c r="G13" s="1"/>
      <c r="H13" s="1"/>
      <c r="I13" s="2" t="s">
        <v>123</v>
      </c>
      <c r="J13" s="33"/>
      <c r="K13" s="33" t="s">
        <v>107</v>
      </c>
      <c r="L13" s="32">
        <v>6</v>
      </c>
      <c r="M13" s="32">
        <v>6</v>
      </c>
      <c r="N13" s="33" t="s">
        <v>108</v>
      </c>
      <c r="O13" s="1" t="s">
        <v>124</v>
      </c>
      <c r="P13" s="20"/>
      <c r="Q13" s="20">
        <v>1</v>
      </c>
      <c r="R13" s="20"/>
      <c r="S13" s="20">
        <v>1</v>
      </c>
      <c r="T13" s="20"/>
      <c r="U13" s="20">
        <v>1</v>
      </c>
      <c r="V13" s="20"/>
      <c r="W13" s="1" t="s">
        <v>113</v>
      </c>
      <c r="Y13" s="20">
        <v>2</v>
      </c>
      <c r="Z13" s="1">
        <v>588</v>
      </c>
    </row>
    <row r="14" spans="1:27" x14ac:dyDescent="0.2">
      <c r="A14" s="1">
        <v>2024</v>
      </c>
      <c r="B14" s="20" t="s">
        <v>28</v>
      </c>
      <c r="C14" s="1" t="s">
        <v>111</v>
      </c>
      <c r="D14" s="2" t="s">
        <v>77</v>
      </c>
      <c r="E14" s="1"/>
      <c r="F14" s="2" t="s">
        <v>104</v>
      </c>
      <c r="G14" s="1"/>
      <c r="H14" s="1"/>
      <c r="I14" s="2" t="s">
        <v>123</v>
      </c>
      <c r="J14" s="33"/>
      <c r="K14" s="33" t="s">
        <v>107</v>
      </c>
      <c r="L14" s="1" t="s">
        <v>117</v>
      </c>
      <c r="M14" s="1" t="s">
        <v>117</v>
      </c>
      <c r="N14" s="1" t="s">
        <v>108</v>
      </c>
      <c r="O14" s="1" t="s">
        <v>125</v>
      </c>
      <c r="P14" s="20">
        <v>1</v>
      </c>
      <c r="Q14" s="20">
        <v>1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1" t="s">
        <v>113</v>
      </c>
      <c r="Y14" s="20">
        <v>2</v>
      </c>
      <c r="Z14" s="1">
        <v>608</v>
      </c>
    </row>
    <row r="15" spans="1:27" x14ac:dyDescent="0.2">
      <c r="A15" s="1">
        <v>2024</v>
      </c>
      <c r="B15" s="20" t="s">
        <v>27</v>
      </c>
      <c r="C15" s="1" t="s">
        <v>103</v>
      </c>
      <c r="D15" s="2" t="s">
        <v>77</v>
      </c>
      <c r="E15" s="1"/>
      <c r="F15" s="2" t="s">
        <v>104</v>
      </c>
      <c r="G15" s="1"/>
      <c r="H15" s="1"/>
      <c r="I15" s="2" t="s">
        <v>106</v>
      </c>
      <c r="J15" s="33"/>
      <c r="K15" s="33" t="s">
        <v>107</v>
      </c>
      <c r="L15" s="1" t="s">
        <v>117</v>
      </c>
      <c r="M15" s="1" t="s">
        <v>117</v>
      </c>
      <c r="N15" s="1" t="s">
        <v>108</v>
      </c>
      <c r="O15" s="1" t="s">
        <v>109</v>
      </c>
      <c r="P15" s="20">
        <v>0</v>
      </c>
      <c r="Q15" s="20">
        <v>1</v>
      </c>
      <c r="R15" s="20">
        <v>0</v>
      </c>
      <c r="S15" s="20">
        <v>1</v>
      </c>
      <c r="T15" s="20">
        <v>0</v>
      </c>
      <c r="U15" s="20">
        <v>1</v>
      </c>
      <c r="V15" s="20">
        <v>0</v>
      </c>
      <c r="W15" s="1" t="s">
        <v>113</v>
      </c>
      <c r="Y15" s="20">
        <v>2</v>
      </c>
      <c r="Z15" s="1" t="s">
        <v>120</v>
      </c>
    </row>
    <row r="16" spans="1:27" x14ac:dyDescent="0.2">
      <c r="A16" s="1">
        <v>2024</v>
      </c>
      <c r="B16" s="20" t="s">
        <v>26</v>
      </c>
      <c r="C16" s="1" t="s">
        <v>111</v>
      </c>
      <c r="D16" s="2" t="s">
        <v>77</v>
      </c>
      <c r="E16" s="1"/>
      <c r="F16" s="2" t="s">
        <v>104</v>
      </c>
      <c r="G16" s="1"/>
      <c r="H16" s="1"/>
      <c r="I16" s="2" t="s">
        <v>123</v>
      </c>
      <c r="J16" s="33"/>
      <c r="K16" s="33" t="s">
        <v>116</v>
      </c>
      <c r="L16" s="1" t="s">
        <v>126</v>
      </c>
      <c r="M16" s="1" t="s">
        <v>115</v>
      </c>
      <c r="N16" s="1" t="s">
        <v>108</v>
      </c>
      <c r="O16" s="1" t="s">
        <v>127</v>
      </c>
      <c r="P16" s="20">
        <v>1</v>
      </c>
      <c r="Q16" s="20">
        <v>0</v>
      </c>
      <c r="R16" s="20">
        <v>0</v>
      </c>
      <c r="S16" s="20">
        <v>1</v>
      </c>
      <c r="T16" s="20">
        <v>0</v>
      </c>
      <c r="U16" s="20">
        <v>0</v>
      </c>
      <c r="V16" s="20">
        <v>0</v>
      </c>
      <c r="W16" s="1" t="s">
        <v>113</v>
      </c>
      <c r="Y16" s="20">
        <v>2</v>
      </c>
      <c r="Z16" s="1">
        <v>466</v>
      </c>
    </row>
    <row r="17" spans="1:26" x14ac:dyDescent="0.2">
      <c r="A17" s="1">
        <v>2024</v>
      </c>
      <c r="B17" s="20" t="s">
        <v>24</v>
      </c>
      <c r="C17" s="1" t="s">
        <v>103</v>
      </c>
      <c r="D17" s="2" t="s">
        <v>77</v>
      </c>
      <c r="E17" s="1"/>
      <c r="F17" s="2" t="s">
        <v>104</v>
      </c>
      <c r="G17" s="1"/>
      <c r="H17" s="1"/>
      <c r="I17" s="2" t="s">
        <v>123</v>
      </c>
      <c r="J17" s="33"/>
      <c r="K17" s="33" t="s">
        <v>107</v>
      </c>
      <c r="L17" s="1" t="s">
        <v>119</v>
      </c>
      <c r="M17" s="1" t="s">
        <v>117</v>
      </c>
      <c r="N17" s="1" t="s">
        <v>108</v>
      </c>
      <c r="O17" s="1" t="s">
        <v>124</v>
      </c>
      <c r="P17" s="20">
        <v>0</v>
      </c>
      <c r="Q17" s="20">
        <v>0</v>
      </c>
      <c r="R17" s="20">
        <v>0</v>
      </c>
      <c r="S17" s="20">
        <v>1</v>
      </c>
      <c r="T17" s="20">
        <v>0</v>
      </c>
      <c r="U17" s="20">
        <v>0</v>
      </c>
      <c r="V17" s="20">
        <v>0</v>
      </c>
      <c r="W17" s="1" t="s">
        <v>113</v>
      </c>
      <c r="Y17" s="20">
        <v>2</v>
      </c>
      <c r="Z17" s="1">
        <v>190</v>
      </c>
    </row>
    <row r="18" spans="1:26" x14ac:dyDescent="0.2">
      <c r="A18" s="1">
        <v>2024</v>
      </c>
      <c r="B18" s="25" t="s">
        <v>49</v>
      </c>
      <c r="C18" s="1" t="s">
        <v>111</v>
      </c>
      <c r="D18" s="2" t="s">
        <v>77</v>
      </c>
      <c r="E18" s="1"/>
      <c r="F18" s="2" t="s">
        <v>104</v>
      </c>
      <c r="G18" s="1"/>
      <c r="H18" s="1" t="s">
        <v>105</v>
      </c>
      <c r="I18" s="2" t="s">
        <v>106</v>
      </c>
      <c r="J18" s="33"/>
      <c r="K18" s="33" t="s">
        <v>116</v>
      </c>
      <c r="L18" s="32">
        <v>6</v>
      </c>
      <c r="M18" s="32">
        <v>4</v>
      </c>
      <c r="N18" s="1" t="s">
        <v>128</v>
      </c>
      <c r="O18" s="1" t="s">
        <v>129</v>
      </c>
      <c r="P18" s="20"/>
      <c r="Q18" s="20">
        <v>1</v>
      </c>
      <c r="R18" s="20"/>
      <c r="S18" s="20"/>
      <c r="T18" s="20"/>
      <c r="U18" s="20"/>
      <c r="V18" s="20"/>
      <c r="W18" s="1" t="s">
        <v>113</v>
      </c>
      <c r="Y18" s="20">
        <v>2</v>
      </c>
      <c r="Z18" s="1">
        <v>204</v>
      </c>
    </row>
    <row r="19" spans="1:26" x14ac:dyDescent="0.2">
      <c r="A19" s="1">
        <v>2024</v>
      </c>
      <c r="B19" s="20" t="s">
        <v>23</v>
      </c>
      <c r="C19" s="1" t="s">
        <v>103</v>
      </c>
      <c r="D19" s="2" t="s">
        <v>77</v>
      </c>
      <c r="E19" s="1"/>
      <c r="F19" s="2" t="s">
        <v>104</v>
      </c>
      <c r="G19" s="1"/>
      <c r="H19" s="1"/>
      <c r="I19" s="2" t="s">
        <v>106</v>
      </c>
      <c r="J19" s="33"/>
      <c r="K19" s="33" t="s">
        <v>107</v>
      </c>
      <c r="L19" s="1" t="s">
        <v>117</v>
      </c>
      <c r="M19" s="1" t="s">
        <v>115</v>
      </c>
      <c r="N19" s="1" t="s">
        <v>128</v>
      </c>
      <c r="O19" s="1" t="s">
        <v>109</v>
      </c>
      <c r="P19" s="20">
        <v>0</v>
      </c>
      <c r="Q19" s="20">
        <v>1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1" t="s">
        <v>110</v>
      </c>
      <c r="Y19" s="20">
        <v>2</v>
      </c>
      <c r="Z19" s="1">
        <v>110</v>
      </c>
    </row>
    <row r="20" spans="1:26" x14ac:dyDescent="0.2">
      <c r="A20" s="1">
        <v>2024</v>
      </c>
      <c r="B20" s="20" t="s">
        <v>48</v>
      </c>
      <c r="C20" s="1" t="s">
        <v>111</v>
      </c>
      <c r="D20" s="2" t="s">
        <v>77</v>
      </c>
      <c r="E20" s="1"/>
      <c r="F20" s="2" t="s">
        <v>104</v>
      </c>
      <c r="G20" s="1"/>
      <c r="H20" s="1" t="s">
        <v>105</v>
      </c>
      <c r="I20" s="2" t="s">
        <v>106</v>
      </c>
      <c r="J20" s="33"/>
      <c r="K20" s="33" t="s">
        <v>116</v>
      </c>
      <c r="L20" s="1" t="s">
        <v>119</v>
      </c>
      <c r="M20" s="1" t="s">
        <v>117</v>
      </c>
      <c r="N20" s="1" t="s">
        <v>128</v>
      </c>
      <c r="O20" s="1" t="s">
        <v>109</v>
      </c>
      <c r="P20" s="20">
        <v>1</v>
      </c>
      <c r="Q20" s="20">
        <v>0</v>
      </c>
      <c r="R20" s="20">
        <v>0</v>
      </c>
      <c r="S20" s="20">
        <v>1</v>
      </c>
      <c r="T20" s="20">
        <v>0</v>
      </c>
      <c r="U20" s="20">
        <v>1</v>
      </c>
      <c r="V20" s="20">
        <v>0</v>
      </c>
      <c r="Y20" s="20">
        <v>2</v>
      </c>
      <c r="Z20" s="1">
        <v>2056</v>
      </c>
    </row>
    <row r="21" spans="1:26" x14ac:dyDescent="0.2">
      <c r="A21" s="1">
        <v>2024</v>
      </c>
      <c r="B21" s="20" t="s">
        <v>22</v>
      </c>
      <c r="C21" s="1" t="s">
        <v>103</v>
      </c>
      <c r="D21" s="2" t="s">
        <v>77</v>
      </c>
      <c r="E21" s="1"/>
      <c r="F21" s="2" t="s">
        <v>104</v>
      </c>
      <c r="G21" s="1"/>
      <c r="H21" s="1"/>
      <c r="I21" s="2" t="s">
        <v>106</v>
      </c>
      <c r="J21" s="33"/>
      <c r="K21" s="33" t="s">
        <v>107</v>
      </c>
      <c r="L21" s="1" t="s">
        <v>117</v>
      </c>
      <c r="M21" s="1" t="s">
        <v>115</v>
      </c>
      <c r="N21" s="1" t="s">
        <v>128</v>
      </c>
      <c r="O21" s="1" t="s">
        <v>109</v>
      </c>
      <c r="P21" s="20">
        <v>1</v>
      </c>
      <c r="Q21" s="20">
        <v>1</v>
      </c>
      <c r="R21" s="20">
        <v>1</v>
      </c>
      <c r="S21" s="20">
        <v>1</v>
      </c>
      <c r="T21" s="20">
        <v>0</v>
      </c>
      <c r="U21" s="20">
        <v>0</v>
      </c>
      <c r="V21" s="20">
        <v>0</v>
      </c>
      <c r="W21" s="1" t="s">
        <v>113</v>
      </c>
      <c r="Y21" s="20">
        <v>2</v>
      </c>
      <c r="Z21" s="1" t="s">
        <v>120</v>
      </c>
    </row>
    <row r="22" spans="1:26" x14ac:dyDescent="0.2">
      <c r="A22" s="1">
        <v>2024</v>
      </c>
      <c r="B22" s="20" t="s">
        <v>21</v>
      </c>
      <c r="C22" s="1" t="s">
        <v>111</v>
      </c>
      <c r="D22" s="2" t="s">
        <v>77</v>
      </c>
      <c r="E22" s="1"/>
      <c r="F22" s="2" t="s">
        <v>104</v>
      </c>
      <c r="G22" s="1" t="s">
        <v>130</v>
      </c>
      <c r="H22" s="1"/>
      <c r="I22" s="1" t="s">
        <v>106</v>
      </c>
      <c r="J22" s="33"/>
      <c r="K22" s="33" t="s">
        <v>116</v>
      </c>
      <c r="L22" s="1" t="s">
        <v>119</v>
      </c>
      <c r="M22" s="1" t="s">
        <v>131</v>
      </c>
      <c r="N22" s="1" t="s">
        <v>128</v>
      </c>
      <c r="O22" s="1" t="s">
        <v>122</v>
      </c>
      <c r="P22" s="20">
        <v>1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1</v>
      </c>
      <c r="W22" s="1" t="s">
        <v>113</v>
      </c>
      <c r="Y22" s="20">
        <v>2</v>
      </c>
      <c r="Z22" s="1" t="s">
        <v>120</v>
      </c>
    </row>
    <row r="23" spans="1:26" x14ac:dyDescent="0.2">
      <c r="A23" s="1">
        <v>2024</v>
      </c>
      <c r="B23" s="20" t="s">
        <v>47</v>
      </c>
      <c r="C23" s="1" t="s">
        <v>103</v>
      </c>
      <c r="D23" s="2" t="s">
        <v>77</v>
      </c>
      <c r="E23" s="1"/>
      <c r="F23" s="2" t="s">
        <v>104</v>
      </c>
      <c r="G23" s="1"/>
      <c r="H23" s="1" t="s">
        <v>105</v>
      </c>
      <c r="I23" s="2" t="s">
        <v>106</v>
      </c>
      <c r="J23" s="33"/>
      <c r="K23" s="33" t="s">
        <v>116</v>
      </c>
      <c r="L23" s="1" t="s">
        <v>117</v>
      </c>
      <c r="M23" s="1" t="s">
        <v>117</v>
      </c>
      <c r="N23" s="1" t="s">
        <v>128</v>
      </c>
      <c r="O23" s="1" t="s">
        <v>109</v>
      </c>
      <c r="P23" s="20">
        <v>1</v>
      </c>
      <c r="Q23" s="20">
        <v>1</v>
      </c>
      <c r="R23" s="20">
        <v>0</v>
      </c>
      <c r="S23" s="20">
        <v>1</v>
      </c>
      <c r="T23" s="20">
        <v>0</v>
      </c>
      <c r="U23" s="20">
        <v>1</v>
      </c>
      <c r="V23" s="20">
        <v>0</v>
      </c>
      <c r="W23" s="1" t="s">
        <v>110</v>
      </c>
      <c r="Y23" s="20">
        <v>2</v>
      </c>
      <c r="Z23" s="1">
        <v>226</v>
      </c>
    </row>
    <row r="24" spans="1:26" x14ac:dyDescent="0.2">
      <c r="A24" s="1">
        <v>2024</v>
      </c>
      <c r="B24" s="20" t="s">
        <v>19</v>
      </c>
      <c r="C24" s="1" t="s">
        <v>111</v>
      </c>
      <c r="D24" s="2" t="s">
        <v>77</v>
      </c>
      <c r="E24" s="1"/>
      <c r="F24" s="2" t="s">
        <v>104</v>
      </c>
      <c r="G24" s="1"/>
      <c r="H24" s="1"/>
      <c r="I24" s="2" t="s">
        <v>106</v>
      </c>
      <c r="J24" s="33"/>
      <c r="K24" s="33" t="s">
        <v>116</v>
      </c>
      <c r="L24" s="1" t="s">
        <v>126</v>
      </c>
      <c r="M24" s="1" t="s">
        <v>115</v>
      </c>
      <c r="N24" s="1" t="s">
        <v>128</v>
      </c>
      <c r="O24" s="1" t="s">
        <v>109</v>
      </c>
      <c r="P24" s="20">
        <v>0</v>
      </c>
      <c r="Q24" s="20">
        <v>1</v>
      </c>
      <c r="R24" s="20">
        <v>0</v>
      </c>
      <c r="S24" s="20">
        <v>1</v>
      </c>
      <c r="T24" s="20">
        <v>0</v>
      </c>
      <c r="U24" s="20">
        <v>0</v>
      </c>
      <c r="V24" s="20">
        <v>0</v>
      </c>
      <c r="W24" s="1" t="s">
        <v>113</v>
      </c>
      <c r="Y24" s="20">
        <v>2</v>
      </c>
      <c r="Z24" s="1">
        <v>856</v>
      </c>
    </row>
    <row r="25" spans="1:26" x14ac:dyDescent="0.2">
      <c r="A25" s="1">
        <v>2024</v>
      </c>
      <c r="B25" s="25" t="s">
        <v>18</v>
      </c>
      <c r="C25" s="1" t="s">
        <v>111</v>
      </c>
      <c r="D25" s="2" t="s">
        <v>77</v>
      </c>
      <c r="E25" s="1"/>
      <c r="F25" s="2" t="s">
        <v>104</v>
      </c>
      <c r="G25" s="1"/>
      <c r="H25" s="1"/>
      <c r="I25" s="2" t="s">
        <v>106</v>
      </c>
      <c r="J25" s="33"/>
      <c r="K25" s="33" t="s">
        <v>107</v>
      </c>
      <c r="L25" s="32">
        <v>6</v>
      </c>
      <c r="M25" s="32">
        <v>6</v>
      </c>
      <c r="N25" s="1" t="s">
        <v>128</v>
      </c>
      <c r="O25" s="1" t="s">
        <v>127</v>
      </c>
      <c r="P25" s="20"/>
      <c r="Q25" s="20"/>
      <c r="R25" s="20"/>
      <c r="S25" s="20">
        <v>1</v>
      </c>
      <c r="T25" s="20"/>
      <c r="U25" s="20"/>
      <c r="V25" s="20"/>
      <c r="W25" s="1" t="s">
        <v>113</v>
      </c>
      <c r="Y25" s="20">
        <v>2</v>
      </c>
      <c r="Z25" s="1" t="s">
        <v>120</v>
      </c>
    </row>
    <row r="26" spans="1:26" x14ac:dyDescent="0.2">
      <c r="A26" s="1">
        <v>2024</v>
      </c>
      <c r="B26" s="20" t="s">
        <v>17</v>
      </c>
      <c r="C26" s="1" t="s">
        <v>111</v>
      </c>
      <c r="D26" s="2" t="s">
        <v>77</v>
      </c>
      <c r="E26" s="1"/>
      <c r="F26" s="2" t="s">
        <v>104</v>
      </c>
      <c r="G26" s="1" t="s">
        <v>132</v>
      </c>
      <c r="H26" s="1"/>
      <c r="I26" s="2" t="s">
        <v>106</v>
      </c>
      <c r="J26" s="33"/>
      <c r="K26" s="33" t="s">
        <v>116</v>
      </c>
      <c r="L26" s="1" t="s">
        <v>117</v>
      </c>
      <c r="M26" s="1" t="s">
        <v>115</v>
      </c>
      <c r="N26" s="1" t="s">
        <v>128</v>
      </c>
      <c r="O26" s="1" t="s">
        <v>109</v>
      </c>
      <c r="P26" s="20">
        <v>0</v>
      </c>
      <c r="Q26" s="20">
        <v>1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1" t="s">
        <v>113</v>
      </c>
      <c r="Y26" s="20">
        <v>2</v>
      </c>
      <c r="Z26" s="1">
        <v>556</v>
      </c>
    </row>
    <row r="27" spans="1:26" x14ac:dyDescent="0.2">
      <c r="A27" s="1">
        <v>2024</v>
      </c>
      <c r="B27" s="20" t="s">
        <v>16</v>
      </c>
      <c r="C27" s="1" t="s">
        <v>103</v>
      </c>
      <c r="D27" s="2" t="s">
        <v>77</v>
      </c>
      <c r="E27" s="1"/>
      <c r="F27" s="2" t="s">
        <v>104</v>
      </c>
      <c r="G27" s="1"/>
      <c r="H27" s="1"/>
      <c r="I27" s="2" t="s">
        <v>106</v>
      </c>
      <c r="J27" s="33"/>
      <c r="K27" s="33" t="s">
        <v>107</v>
      </c>
      <c r="L27" s="1" t="s">
        <v>117</v>
      </c>
      <c r="M27" s="1" t="s">
        <v>117</v>
      </c>
      <c r="N27" s="1" t="s">
        <v>128</v>
      </c>
      <c r="O27" s="1" t="s">
        <v>122</v>
      </c>
      <c r="P27" s="20">
        <v>1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1" t="s">
        <v>113</v>
      </c>
      <c r="Y27" s="20">
        <v>2</v>
      </c>
      <c r="Z27" s="1" t="s">
        <v>120</v>
      </c>
    </row>
    <row r="28" spans="1:26" x14ac:dyDescent="0.2">
      <c r="A28" s="1">
        <v>2024</v>
      </c>
      <c r="B28" s="20" t="s">
        <v>46</v>
      </c>
      <c r="C28" s="1" t="s">
        <v>111</v>
      </c>
      <c r="D28" s="2" t="s">
        <v>77</v>
      </c>
      <c r="E28" s="1"/>
      <c r="F28" s="2" t="s">
        <v>104</v>
      </c>
      <c r="G28" s="1"/>
      <c r="H28" s="1" t="s">
        <v>105</v>
      </c>
      <c r="I28" s="2" t="s">
        <v>123</v>
      </c>
      <c r="J28" s="33"/>
      <c r="K28" s="33" t="s">
        <v>121</v>
      </c>
      <c r="L28" s="1" t="s">
        <v>133</v>
      </c>
      <c r="M28" s="1" t="s">
        <v>126</v>
      </c>
      <c r="N28" s="1" t="s">
        <v>128</v>
      </c>
      <c r="O28" s="1" t="s">
        <v>134</v>
      </c>
      <c r="P28" s="20">
        <v>1</v>
      </c>
      <c r="Q28" s="20">
        <v>0</v>
      </c>
      <c r="R28" s="20">
        <v>0</v>
      </c>
      <c r="S28" s="20">
        <v>1</v>
      </c>
      <c r="T28" s="20">
        <v>0</v>
      </c>
      <c r="U28" s="20">
        <v>0</v>
      </c>
      <c r="V28" s="20">
        <v>0</v>
      </c>
      <c r="W28" s="1" t="s">
        <v>113</v>
      </c>
      <c r="Y28" s="20">
        <v>2</v>
      </c>
      <c r="Z28" s="1">
        <v>586</v>
      </c>
    </row>
    <row r="29" spans="1:26" x14ac:dyDescent="0.2">
      <c r="A29" s="1">
        <v>2024</v>
      </c>
      <c r="B29" s="20" t="s">
        <v>45</v>
      </c>
      <c r="C29" s="1" t="s">
        <v>111</v>
      </c>
      <c r="D29" s="2" t="s">
        <v>77</v>
      </c>
      <c r="E29" s="1"/>
      <c r="F29" s="2" t="s">
        <v>104</v>
      </c>
      <c r="G29" s="1"/>
      <c r="H29" s="1" t="s">
        <v>105</v>
      </c>
      <c r="I29" s="2" t="s">
        <v>123</v>
      </c>
      <c r="J29" s="33"/>
      <c r="K29" s="33" t="s">
        <v>107</v>
      </c>
      <c r="L29" s="1" t="s">
        <v>117</v>
      </c>
      <c r="M29" s="1" t="s">
        <v>126</v>
      </c>
      <c r="N29" s="1" t="s">
        <v>128</v>
      </c>
      <c r="O29" s="1" t="s">
        <v>122</v>
      </c>
      <c r="P29" s="20">
        <v>1</v>
      </c>
      <c r="Q29" s="20">
        <v>1</v>
      </c>
      <c r="R29" s="20">
        <v>1</v>
      </c>
      <c r="S29" s="20">
        <v>1</v>
      </c>
      <c r="T29" s="20">
        <v>1</v>
      </c>
      <c r="U29" s="20">
        <v>0</v>
      </c>
      <c r="V29" s="20">
        <v>0</v>
      </c>
      <c r="W29" s="1" t="s">
        <v>113</v>
      </c>
      <c r="Y29" s="20">
        <v>2</v>
      </c>
      <c r="Z29" s="1" t="s">
        <v>120</v>
      </c>
    </row>
    <row r="30" spans="1:26" x14ac:dyDescent="0.2">
      <c r="A30" s="1">
        <v>2024</v>
      </c>
      <c r="B30" s="20" t="s">
        <v>14</v>
      </c>
      <c r="C30" s="1" t="s">
        <v>103</v>
      </c>
      <c r="D30" s="2" t="s">
        <v>77</v>
      </c>
      <c r="E30" s="1"/>
      <c r="F30" s="2" t="s">
        <v>104</v>
      </c>
      <c r="G30" s="1"/>
      <c r="H30" s="1"/>
      <c r="I30" s="2" t="s">
        <v>123</v>
      </c>
      <c r="J30" s="33"/>
      <c r="K30" s="33" t="s">
        <v>107</v>
      </c>
      <c r="L30" s="1" t="s">
        <v>119</v>
      </c>
      <c r="M30" s="1" t="s">
        <v>131</v>
      </c>
      <c r="N30" s="1" t="s">
        <v>128</v>
      </c>
      <c r="O30" s="1" t="s">
        <v>127</v>
      </c>
      <c r="P30" s="20">
        <v>1</v>
      </c>
      <c r="Q30" s="20">
        <v>0</v>
      </c>
      <c r="R30" s="20">
        <v>0</v>
      </c>
      <c r="S30" s="20">
        <v>1</v>
      </c>
      <c r="T30" s="20">
        <v>0</v>
      </c>
      <c r="U30" s="20">
        <v>0</v>
      </c>
      <c r="V30" s="20">
        <v>0</v>
      </c>
      <c r="W30" s="1" t="s">
        <v>113</v>
      </c>
      <c r="Y30" s="20">
        <v>2</v>
      </c>
      <c r="Z30" s="1">
        <v>946</v>
      </c>
    </row>
    <row r="31" spans="1:26" x14ac:dyDescent="0.2">
      <c r="A31" s="1">
        <v>2024</v>
      </c>
      <c r="B31" s="20" t="s">
        <v>13</v>
      </c>
      <c r="C31" s="35" t="s">
        <v>111</v>
      </c>
      <c r="D31" s="2" t="s">
        <v>77</v>
      </c>
      <c r="E31" s="1"/>
      <c r="F31" s="2" t="s">
        <v>104</v>
      </c>
      <c r="G31" s="1"/>
      <c r="H31" s="1"/>
      <c r="I31" s="2" t="s">
        <v>106</v>
      </c>
      <c r="J31" s="33"/>
      <c r="K31" s="33" t="s">
        <v>116</v>
      </c>
      <c r="L31" s="1" t="s">
        <v>126</v>
      </c>
      <c r="M31" s="1" t="s">
        <v>117</v>
      </c>
      <c r="N31" s="1" t="s">
        <v>108</v>
      </c>
      <c r="O31" s="1" t="s">
        <v>109</v>
      </c>
      <c r="P31" s="20">
        <v>1</v>
      </c>
      <c r="Q31" s="20">
        <v>1</v>
      </c>
      <c r="R31" s="20">
        <v>0</v>
      </c>
      <c r="S31" s="20">
        <v>1</v>
      </c>
      <c r="T31" s="20">
        <v>0</v>
      </c>
      <c r="U31" s="20">
        <v>0</v>
      </c>
      <c r="V31" s="20">
        <v>0</v>
      </c>
      <c r="W31" s="1" t="s">
        <v>110</v>
      </c>
      <c r="Y31" s="20">
        <v>2</v>
      </c>
      <c r="Z31" s="1">
        <v>1852</v>
      </c>
    </row>
    <row r="32" spans="1:26" x14ac:dyDescent="0.2">
      <c r="A32" s="1">
        <v>2024</v>
      </c>
      <c r="B32" s="20" t="s">
        <v>12</v>
      </c>
      <c r="C32" s="1" t="s">
        <v>103</v>
      </c>
      <c r="D32" s="2" t="s">
        <v>77</v>
      </c>
      <c r="E32" s="1"/>
      <c r="F32" s="2" t="s">
        <v>104</v>
      </c>
      <c r="G32" s="1"/>
      <c r="H32" s="1"/>
      <c r="I32" s="2" t="s">
        <v>106</v>
      </c>
      <c r="J32" s="33"/>
      <c r="K32" s="33" t="s">
        <v>107</v>
      </c>
      <c r="L32" s="1" t="s">
        <v>117</v>
      </c>
      <c r="M32" s="1" t="s">
        <v>117</v>
      </c>
      <c r="N32" s="1" t="s">
        <v>108</v>
      </c>
      <c r="O32" s="1" t="s">
        <v>135</v>
      </c>
      <c r="P32" s="20">
        <v>1</v>
      </c>
      <c r="Q32" s="20">
        <v>0</v>
      </c>
      <c r="R32" s="20">
        <v>0</v>
      </c>
      <c r="S32" s="20">
        <v>1</v>
      </c>
      <c r="T32" s="20">
        <v>0</v>
      </c>
      <c r="U32" s="20">
        <v>0</v>
      </c>
      <c r="V32" s="20">
        <v>0</v>
      </c>
      <c r="W32" s="1" t="s">
        <v>113</v>
      </c>
      <c r="Y32" s="20">
        <v>2</v>
      </c>
      <c r="Z32" s="1">
        <v>166</v>
      </c>
    </row>
    <row r="33" spans="1:27" x14ac:dyDescent="0.2">
      <c r="A33" s="1">
        <v>2024</v>
      </c>
      <c r="B33" s="20" t="s">
        <v>43</v>
      </c>
      <c r="C33" s="1" t="s">
        <v>103</v>
      </c>
      <c r="D33" s="2" t="s">
        <v>77</v>
      </c>
      <c r="E33" s="1"/>
      <c r="F33" s="2" t="s">
        <v>104</v>
      </c>
      <c r="G33" s="1"/>
      <c r="H33" s="1" t="s">
        <v>105</v>
      </c>
      <c r="I33" s="2" t="s">
        <v>106</v>
      </c>
      <c r="J33" s="33"/>
      <c r="K33" s="33" t="s">
        <v>107</v>
      </c>
      <c r="L33" s="1" t="s">
        <v>117</v>
      </c>
      <c r="M33" s="1" t="s">
        <v>117</v>
      </c>
      <c r="N33" s="1" t="s">
        <v>108</v>
      </c>
      <c r="O33" s="1" t="s">
        <v>109</v>
      </c>
      <c r="P33" s="20">
        <v>1</v>
      </c>
      <c r="Q33" s="20">
        <v>1</v>
      </c>
      <c r="R33" s="20">
        <v>0</v>
      </c>
      <c r="S33" s="20">
        <v>1</v>
      </c>
      <c r="T33" s="20">
        <v>0</v>
      </c>
      <c r="U33" s="20">
        <v>1</v>
      </c>
      <c r="V33" s="20">
        <v>0</v>
      </c>
      <c r="W33" s="1" t="s">
        <v>113</v>
      </c>
      <c r="Y33" s="20">
        <v>2</v>
      </c>
      <c r="Z33" s="1">
        <v>1272</v>
      </c>
    </row>
    <row r="34" spans="1:27" x14ac:dyDescent="0.2">
      <c r="A34" s="1">
        <v>2024</v>
      </c>
      <c r="B34" s="20" t="s">
        <v>11</v>
      </c>
      <c r="C34" s="1" t="s">
        <v>103</v>
      </c>
      <c r="D34" s="2" t="s">
        <v>77</v>
      </c>
      <c r="E34" s="1"/>
      <c r="F34" s="2" t="s">
        <v>104</v>
      </c>
      <c r="G34" s="1"/>
      <c r="H34" s="1"/>
      <c r="I34" s="2" t="s">
        <v>106</v>
      </c>
      <c r="J34" s="33"/>
      <c r="K34" s="33" t="s">
        <v>107</v>
      </c>
      <c r="L34" s="1" t="s">
        <v>117</v>
      </c>
      <c r="M34" s="1" t="s">
        <v>117</v>
      </c>
      <c r="N34" s="1" t="s">
        <v>108</v>
      </c>
      <c r="O34" s="1" t="s">
        <v>109</v>
      </c>
      <c r="P34" s="20">
        <v>1</v>
      </c>
      <c r="Q34" s="20">
        <v>1</v>
      </c>
      <c r="R34" s="20">
        <v>0</v>
      </c>
      <c r="S34" s="20">
        <v>1</v>
      </c>
      <c r="T34" s="20">
        <v>0</v>
      </c>
      <c r="U34" s="20">
        <v>0</v>
      </c>
      <c r="V34" s="20">
        <v>0</v>
      </c>
      <c r="W34" s="1" t="s">
        <v>110</v>
      </c>
      <c r="Y34" s="20">
        <v>2</v>
      </c>
      <c r="Z34" s="1">
        <v>76</v>
      </c>
    </row>
    <row r="35" spans="1:27" x14ac:dyDescent="0.2">
      <c r="A35" s="1">
        <v>2024</v>
      </c>
      <c r="B35" s="20" t="s">
        <v>10</v>
      </c>
      <c r="C35" s="1" t="s">
        <v>111</v>
      </c>
      <c r="D35" s="2" t="s">
        <v>77</v>
      </c>
      <c r="E35" s="1"/>
      <c r="F35" s="2" t="s">
        <v>104</v>
      </c>
      <c r="G35" s="1"/>
      <c r="H35" s="1"/>
      <c r="I35" s="2" t="s">
        <v>106</v>
      </c>
      <c r="J35" s="33"/>
      <c r="K35" s="33" t="s">
        <v>107</v>
      </c>
      <c r="L35" s="1" t="s">
        <v>117</v>
      </c>
      <c r="M35" s="1" t="s">
        <v>115</v>
      </c>
      <c r="N35" s="1" t="s">
        <v>108</v>
      </c>
      <c r="O35" s="1" t="s">
        <v>122</v>
      </c>
      <c r="P35" s="20">
        <v>1</v>
      </c>
      <c r="Q35" s="20">
        <v>0</v>
      </c>
      <c r="R35" s="20">
        <v>1</v>
      </c>
      <c r="S35" s="20">
        <v>0</v>
      </c>
      <c r="T35" s="20">
        <v>0</v>
      </c>
      <c r="U35" s="20">
        <v>0</v>
      </c>
      <c r="V35" s="20">
        <v>0</v>
      </c>
      <c r="W35" s="1" t="s">
        <v>113</v>
      </c>
      <c r="Y35" s="20">
        <v>2</v>
      </c>
      <c r="Z35" s="1">
        <v>256</v>
      </c>
    </row>
    <row r="36" spans="1:27" x14ac:dyDescent="0.2">
      <c r="A36" s="1">
        <v>2024</v>
      </c>
      <c r="B36" s="20" t="s">
        <v>41</v>
      </c>
      <c r="C36" s="1" t="s">
        <v>103</v>
      </c>
      <c r="D36" s="2" t="s">
        <v>77</v>
      </c>
      <c r="E36" s="1"/>
      <c r="F36" s="2" t="s">
        <v>104</v>
      </c>
      <c r="G36" s="1"/>
      <c r="H36" s="1" t="s">
        <v>105</v>
      </c>
      <c r="I36" s="2" t="s">
        <v>106</v>
      </c>
      <c r="J36" s="33"/>
      <c r="K36" s="33" t="s">
        <v>107</v>
      </c>
      <c r="L36" s="1" t="s">
        <v>126</v>
      </c>
      <c r="M36" s="1" t="s">
        <v>126</v>
      </c>
      <c r="N36" s="1" t="s">
        <v>108</v>
      </c>
      <c r="O36" s="1" t="s">
        <v>112</v>
      </c>
      <c r="P36" s="20">
        <v>1</v>
      </c>
      <c r="Q36" s="20">
        <v>1</v>
      </c>
      <c r="R36" s="20">
        <v>0</v>
      </c>
      <c r="S36" s="20">
        <v>1</v>
      </c>
      <c r="T36" s="20">
        <v>0</v>
      </c>
      <c r="U36" s="20">
        <v>1</v>
      </c>
      <c r="V36" s="20">
        <v>0</v>
      </c>
      <c r="W36" s="1" t="s">
        <v>113</v>
      </c>
      <c r="Y36" s="20">
        <v>2</v>
      </c>
      <c r="Z36" s="1">
        <v>766</v>
      </c>
    </row>
    <row r="37" spans="1:27" x14ac:dyDescent="0.2">
      <c r="A37" s="1">
        <v>2024</v>
      </c>
      <c r="B37" s="20" t="s">
        <v>9</v>
      </c>
      <c r="C37" s="1" t="s">
        <v>103</v>
      </c>
      <c r="D37" s="2" t="s">
        <v>77</v>
      </c>
      <c r="E37" s="1"/>
      <c r="F37" s="2" t="s">
        <v>104</v>
      </c>
      <c r="G37" s="1"/>
      <c r="H37" s="1"/>
      <c r="I37" s="2" t="s">
        <v>106</v>
      </c>
      <c r="J37" s="33"/>
      <c r="K37" s="33" t="s">
        <v>107</v>
      </c>
      <c r="L37" s="1" t="s">
        <v>114</v>
      </c>
      <c r="M37" s="1" t="s">
        <v>117</v>
      </c>
      <c r="N37" s="1" t="s">
        <v>108</v>
      </c>
      <c r="O37" s="1" t="s">
        <v>109</v>
      </c>
      <c r="P37" s="20">
        <v>0</v>
      </c>
      <c r="Q37" s="20">
        <v>1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1" t="s">
        <v>113</v>
      </c>
      <c r="Y37" s="20">
        <v>2</v>
      </c>
      <c r="Z37" s="1">
        <v>284</v>
      </c>
    </row>
    <row r="38" spans="1:27" x14ac:dyDescent="0.2">
      <c r="A38" s="1">
        <v>2024</v>
      </c>
      <c r="B38" s="20" t="s">
        <v>8</v>
      </c>
      <c r="C38" s="1" t="s">
        <v>111</v>
      </c>
      <c r="D38" s="2" t="s">
        <v>77</v>
      </c>
      <c r="E38" s="1"/>
      <c r="F38" s="2" t="s">
        <v>104</v>
      </c>
      <c r="G38" s="1"/>
      <c r="H38" s="1"/>
      <c r="I38" s="2" t="s">
        <v>106</v>
      </c>
      <c r="J38" s="33"/>
      <c r="K38" s="33" t="s">
        <v>116</v>
      </c>
      <c r="L38" s="1" t="s">
        <v>117</v>
      </c>
      <c r="M38" s="1" t="s">
        <v>126</v>
      </c>
      <c r="N38" s="1" t="s">
        <v>108</v>
      </c>
      <c r="O38" s="1" t="s">
        <v>122</v>
      </c>
      <c r="P38" s="20">
        <v>1</v>
      </c>
      <c r="Q38" s="20">
        <v>0</v>
      </c>
      <c r="R38" s="20">
        <v>1</v>
      </c>
      <c r="S38" s="20">
        <v>0</v>
      </c>
      <c r="T38" s="20">
        <v>0</v>
      </c>
      <c r="U38" s="20">
        <v>0</v>
      </c>
      <c r="V38" s="20">
        <v>0</v>
      </c>
      <c r="W38" s="1" t="s">
        <v>113</v>
      </c>
      <c r="Y38" s="20">
        <v>2</v>
      </c>
      <c r="Z38" s="1">
        <v>616</v>
      </c>
    </row>
    <row r="39" spans="1:27" x14ac:dyDescent="0.2">
      <c r="A39" s="1">
        <v>2024</v>
      </c>
      <c r="B39" s="20" t="s">
        <v>7</v>
      </c>
      <c r="C39" s="1" t="s">
        <v>111</v>
      </c>
      <c r="D39" s="2" t="s">
        <v>77</v>
      </c>
      <c r="E39" s="1"/>
      <c r="F39" s="2" t="s">
        <v>104</v>
      </c>
      <c r="G39" s="1"/>
      <c r="H39" s="1"/>
      <c r="I39" s="2" t="s">
        <v>106</v>
      </c>
      <c r="J39" s="33"/>
      <c r="K39" s="33" t="s">
        <v>107</v>
      </c>
      <c r="L39" s="1" t="s">
        <v>117</v>
      </c>
      <c r="M39" s="1" t="s">
        <v>117</v>
      </c>
      <c r="N39" s="1" t="s">
        <v>108</v>
      </c>
      <c r="O39" s="1" t="s">
        <v>136</v>
      </c>
      <c r="P39" s="20">
        <v>0</v>
      </c>
      <c r="Q39" s="20">
        <v>0</v>
      </c>
      <c r="R39" s="20">
        <v>1</v>
      </c>
      <c r="S39" s="20">
        <v>0</v>
      </c>
      <c r="T39" s="20">
        <v>0</v>
      </c>
      <c r="U39" s="20">
        <v>0</v>
      </c>
      <c r="V39" s="20">
        <v>0</v>
      </c>
      <c r="W39" s="1" t="s">
        <v>113</v>
      </c>
      <c r="Y39" s="20">
        <v>2</v>
      </c>
      <c r="Z39" s="1">
        <v>376</v>
      </c>
    </row>
    <row r="40" spans="1:27" x14ac:dyDescent="0.2">
      <c r="A40" s="1">
        <v>2024</v>
      </c>
      <c r="B40" s="20" t="s">
        <v>40</v>
      </c>
      <c r="C40" s="1" t="s">
        <v>111</v>
      </c>
      <c r="D40" s="2" t="s">
        <v>77</v>
      </c>
      <c r="E40" s="1"/>
      <c r="F40" s="2" t="s">
        <v>104</v>
      </c>
      <c r="G40" s="1"/>
      <c r="H40" s="1" t="s">
        <v>105</v>
      </c>
      <c r="I40" s="2" t="s">
        <v>106</v>
      </c>
      <c r="J40" s="33"/>
      <c r="K40" s="33" t="s">
        <v>116</v>
      </c>
      <c r="L40" s="1" t="s">
        <v>119</v>
      </c>
      <c r="M40" s="1" t="s">
        <v>115</v>
      </c>
      <c r="N40" s="1" t="s">
        <v>108</v>
      </c>
      <c r="O40" s="1" t="s">
        <v>109</v>
      </c>
      <c r="P40" s="20">
        <v>1</v>
      </c>
      <c r="Q40" s="20">
        <v>0</v>
      </c>
      <c r="R40" s="20">
        <v>0</v>
      </c>
      <c r="S40" s="20">
        <v>1</v>
      </c>
      <c r="T40" s="20">
        <v>0</v>
      </c>
      <c r="U40" s="20">
        <v>1</v>
      </c>
      <c r="V40" s="20">
        <v>0</v>
      </c>
      <c r="W40" s="1" t="s">
        <v>110</v>
      </c>
      <c r="Y40" s="20">
        <v>2</v>
      </c>
      <c r="Z40" s="1">
        <v>106</v>
      </c>
    </row>
    <row r="41" spans="1:27" x14ac:dyDescent="0.2">
      <c r="A41" s="1">
        <v>2024</v>
      </c>
      <c r="B41" s="20" t="s">
        <v>6</v>
      </c>
      <c r="C41" s="1" t="s">
        <v>103</v>
      </c>
      <c r="D41" s="2" t="s">
        <v>77</v>
      </c>
      <c r="E41" s="1"/>
      <c r="F41" s="2" t="s">
        <v>104</v>
      </c>
      <c r="G41" s="1"/>
      <c r="H41" s="1"/>
      <c r="I41" s="2" t="s">
        <v>106</v>
      </c>
      <c r="J41" s="33"/>
      <c r="K41" s="33" t="s">
        <v>116</v>
      </c>
      <c r="L41" s="1" t="s">
        <v>126</v>
      </c>
      <c r="M41" s="1" t="s">
        <v>115</v>
      </c>
      <c r="N41" s="1" t="s">
        <v>108</v>
      </c>
      <c r="O41" s="1" t="s">
        <v>109</v>
      </c>
      <c r="P41" s="20">
        <v>1</v>
      </c>
      <c r="Q41" s="20">
        <v>1</v>
      </c>
      <c r="R41" s="20">
        <v>1</v>
      </c>
      <c r="S41" s="20">
        <v>1</v>
      </c>
      <c r="T41" s="20">
        <v>0</v>
      </c>
      <c r="U41" s="20">
        <v>0</v>
      </c>
      <c r="V41" s="20">
        <v>0</v>
      </c>
      <c r="W41" s="1" t="s">
        <v>110</v>
      </c>
      <c r="Y41" s="20">
        <v>2</v>
      </c>
      <c r="Z41" s="1">
        <v>106</v>
      </c>
    </row>
    <row r="42" spans="1:27" x14ac:dyDescent="0.2">
      <c r="A42" s="1">
        <v>2024</v>
      </c>
      <c r="B42" s="20" t="s">
        <v>5</v>
      </c>
      <c r="C42" s="1" t="s">
        <v>111</v>
      </c>
      <c r="D42" s="2" t="s">
        <v>77</v>
      </c>
      <c r="E42" s="1"/>
      <c r="F42" s="2" t="s">
        <v>104</v>
      </c>
      <c r="G42" s="1"/>
      <c r="H42" s="1"/>
      <c r="I42" s="2" t="s">
        <v>106</v>
      </c>
      <c r="J42" s="1"/>
      <c r="K42" s="1" t="s">
        <v>107</v>
      </c>
      <c r="L42" s="1" t="s">
        <v>117</v>
      </c>
      <c r="M42" s="1" t="s">
        <v>117</v>
      </c>
      <c r="N42" s="1" t="s">
        <v>108</v>
      </c>
      <c r="O42" s="1" t="s">
        <v>118</v>
      </c>
      <c r="P42" s="20">
        <v>1</v>
      </c>
      <c r="Q42" s="20">
        <v>0</v>
      </c>
      <c r="R42" s="20">
        <v>0</v>
      </c>
      <c r="S42" s="20">
        <v>0</v>
      </c>
      <c r="T42" s="20">
        <v>1</v>
      </c>
      <c r="U42" s="20">
        <v>0</v>
      </c>
      <c r="V42" s="20">
        <v>0</v>
      </c>
      <c r="W42" s="1" t="s">
        <v>113</v>
      </c>
      <c r="Y42" s="20">
        <v>2</v>
      </c>
      <c r="Z42" s="1">
        <v>1516</v>
      </c>
    </row>
    <row r="43" spans="1:27" x14ac:dyDescent="0.2">
      <c r="A43" s="1">
        <v>2024</v>
      </c>
      <c r="B43" s="20" t="s">
        <v>4</v>
      </c>
      <c r="C43" s="1" t="s">
        <v>111</v>
      </c>
      <c r="D43" s="2" t="s">
        <v>77</v>
      </c>
      <c r="E43" s="1"/>
      <c r="F43" s="2" t="s">
        <v>104</v>
      </c>
      <c r="G43" s="1"/>
      <c r="H43" s="1"/>
      <c r="I43" s="2" t="s">
        <v>106</v>
      </c>
      <c r="J43" s="1"/>
      <c r="K43" s="1" t="s">
        <v>116</v>
      </c>
      <c r="L43" s="1" t="s">
        <v>119</v>
      </c>
      <c r="M43" s="1" t="s">
        <v>126</v>
      </c>
      <c r="N43" s="1" t="s">
        <v>108</v>
      </c>
      <c r="O43" s="1" t="s">
        <v>109</v>
      </c>
      <c r="P43" s="20">
        <v>1</v>
      </c>
      <c r="Q43" s="20">
        <v>1</v>
      </c>
      <c r="R43" s="20">
        <v>1</v>
      </c>
      <c r="S43" s="20">
        <v>1</v>
      </c>
      <c r="T43" s="20">
        <v>0</v>
      </c>
      <c r="U43" s="20">
        <v>0</v>
      </c>
      <c r="V43" s="20">
        <v>0</v>
      </c>
      <c r="W43" s="1" t="s">
        <v>110</v>
      </c>
      <c r="Y43" s="20">
        <v>2</v>
      </c>
      <c r="Z43" s="1">
        <v>357</v>
      </c>
    </row>
    <row r="44" spans="1:27" x14ac:dyDescent="0.2">
      <c r="A44" s="1">
        <v>2024</v>
      </c>
      <c r="B44" s="20" t="s">
        <v>3</v>
      </c>
      <c r="C44" s="1" t="s">
        <v>103</v>
      </c>
      <c r="D44" s="2" t="s">
        <v>77</v>
      </c>
      <c r="E44" s="1"/>
      <c r="F44" s="2" t="s">
        <v>104</v>
      </c>
      <c r="G44" s="1"/>
      <c r="H44" s="1"/>
      <c r="I44" s="2" t="s">
        <v>106</v>
      </c>
      <c r="J44" s="1"/>
      <c r="K44" s="1" t="s">
        <v>116</v>
      </c>
      <c r="L44" s="1" t="s">
        <v>117</v>
      </c>
      <c r="M44" s="1" t="s">
        <v>115</v>
      </c>
      <c r="N44" s="1" t="s">
        <v>108</v>
      </c>
      <c r="O44" s="1" t="s">
        <v>109</v>
      </c>
      <c r="P44" s="20">
        <v>1</v>
      </c>
      <c r="Q44" s="20">
        <v>1</v>
      </c>
      <c r="R44" s="20">
        <v>0</v>
      </c>
      <c r="S44" s="20">
        <v>1</v>
      </c>
      <c r="T44" s="20">
        <v>0</v>
      </c>
      <c r="U44" s="20">
        <v>0</v>
      </c>
      <c r="V44" s="20">
        <v>0</v>
      </c>
      <c r="W44" s="1" t="s">
        <v>113</v>
      </c>
      <c r="Y44" s="20">
        <v>2</v>
      </c>
      <c r="Z44" s="1">
        <v>2056</v>
      </c>
    </row>
    <row r="45" spans="1:27" ht="16" thickBot="1" x14ac:dyDescent="0.25">
      <c r="A45" s="94">
        <v>2024</v>
      </c>
      <c r="B45" s="102" t="s">
        <v>2</v>
      </c>
      <c r="C45" s="94" t="s">
        <v>103</v>
      </c>
      <c r="D45" s="110" t="s">
        <v>77</v>
      </c>
      <c r="E45" s="94"/>
      <c r="F45" s="110" t="s">
        <v>104</v>
      </c>
      <c r="G45" s="94"/>
      <c r="H45" s="94"/>
      <c r="I45" s="110" t="s">
        <v>106</v>
      </c>
      <c r="J45" s="94"/>
      <c r="K45" s="94" t="s">
        <v>107</v>
      </c>
      <c r="L45" s="94" t="s">
        <v>117</v>
      </c>
      <c r="M45" s="94" t="s">
        <v>115</v>
      </c>
      <c r="N45" s="94" t="s">
        <v>108</v>
      </c>
      <c r="O45" s="94" t="s">
        <v>112</v>
      </c>
      <c r="P45" s="102">
        <v>1</v>
      </c>
      <c r="Q45" s="102">
        <v>0</v>
      </c>
      <c r="R45" s="102">
        <v>0</v>
      </c>
      <c r="S45" s="102">
        <v>1</v>
      </c>
      <c r="T45" s="102">
        <v>0</v>
      </c>
      <c r="U45" s="102">
        <v>0</v>
      </c>
      <c r="V45" s="102">
        <v>0</v>
      </c>
      <c r="W45" s="94" t="s">
        <v>113</v>
      </c>
      <c r="X45" s="94"/>
      <c r="Y45" s="102">
        <v>2</v>
      </c>
      <c r="Z45" s="94">
        <v>71</v>
      </c>
    </row>
    <row r="46" spans="1:27" ht="16" x14ac:dyDescent="0.2">
      <c r="A46" s="1">
        <v>2025</v>
      </c>
      <c r="B46" s="36">
        <v>27</v>
      </c>
      <c r="C46" s="1" t="s">
        <v>103</v>
      </c>
      <c r="D46" s="2" t="s">
        <v>77</v>
      </c>
      <c r="E46" s="1"/>
      <c r="F46" s="2" t="s">
        <v>137</v>
      </c>
      <c r="G46" s="1"/>
      <c r="H46" s="1"/>
      <c r="I46" s="2" t="s">
        <v>123</v>
      </c>
      <c r="J46" s="11"/>
      <c r="K46" s="33" t="s">
        <v>107</v>
      </c>
      <c r="N46" s="1" t="s">
        <v>108</v>
      </c>
      <c r="O46" s="1" t="s">
        <v>122</v>
      </c>
      <c r="P46" s="37">
        <v>1</v>
      </c>
      <c r="Q46" s="37">
        <v>1</v>
      </c>
      <c r="R46" s="37">
        <v>0</v>
      </c>
      <c r="S46" s="37">
        <v>1</v>
      </c>
      <c r="T46" s="37">
        <v>0</v>
      </c>
      <c r="U46" s="37">
        <v>1</v>
      </c>
      <c r="V46" s="37">
        <v>0</v>
      </c>
      <c r="W46" s="1" t="s">
        <v>113</v>
      </c>
      <c r="Y46" s="37">
        <v>2</v>
      </c>
      <c r="Z46" s="1">
        <v>194</v>
      </c>
      <c r="AA46" s="38"/>
    </row>
    <row r="47" spans="1:27" ht="16" x14ac:dyDescent="0.2">
      <c r="A47" s="1">
        <v>2025</v>
      </c>
      <c r="B47" s="36">
        <v>28</v>
      </c>
      <c r="C47" s="1" t="s">
        <v>103</v>
      </c>
      <c r="D47" s="2" t="s">
        <v>77</v>
      </c>
      <c r="E47" s="1"/>
      <c r="F47" s="2" t="s">
        <v>137</v>
      </c>
      <c r="G47" s="1"/>
      <c r="H47" s="1"/>
      <c r="I47" s="2" t="s">
        <v>123</v>
      </c>
      <c r="J47" s="11"/>
      <c r="K47" s="33" t="s">
        <v>107</v>
      </c>
      <c r="N47" s="1" t="s">
        <v>108</v>
      </c>
      <c r="O47" s="1" t="s">
        <v>124</v>
      </c>
      <c r="P47" s="37">
        <v>0</v>
      </c>
      <c r="Q47" s="37">
        <v>1</v>
      </c>
      <c r="R47" s="37">
        <v>0</v>
      </c>
      <c r="S47" s="37">
        <v>1</v>
      </c>
      <c r="T47" s="37">
        <v>0</v>
      </c>
      <c r="U47" s="37">
        <v>1</v>
      </c>
      <c r="V47" s="37">
        <v>0</v>
      </c>
      <c r="W47" s="1" t="s">
        <v>110</v>
      </c>
      <c r="Y47" s="37">
        <v>2</v>
      </c>
      <c r="Z47" s="1">
        <v>75</v>
      </c>
      <c r="AA47" s="38"/>
    </row>
    <row r="48" spans="1:27" ht="16" x14ac:dyDescent="0.2">
      <c r="A48" s="1">
        <v>2025</v>
      </c>
      <c r="B48" s="36">
        <v>29</v>
      </c>
      <c r="C48" s="1" t="s">
        <v>111</v>
      </c>
      <c r="D48" s="2" t="s">
        <v>77</v>
      </c>
      <c r="E48" s="1"/>
      <c r="F48" s="39" t="s">
        <v>137</v>
      </c>
      <c r="G48" s="1"/>
      <c r="H48" s="1" t="s">
        <v>105</v>
      </c>
      <c r="I48" s="2" t="s">
        <v>123</v>
      </c>
      <c r="J48" s="11"/>
      <c r="K48" s="33" t="s">
        <v>107</v>
      </c>
      <c r="N48" s="1" t="s">
        <v>108</v>
      </c>
      <c r="O48" s="1" t="s">
        <v>124</v>
      </c>
      <c r="P48" s="37">
        <v>0</v>
      </c>
      <c r="Q48" s="37">
        <v>0</v>
      </c>
      <c r="R48" s="37">
        <v>0</v>
      </c>
      <c r="S48" s="37">
        <v>1</v>
      </c>
      <c r="T48" s="37">
        <v>0</v>
      </c>
      <c r="U48" s="37">
        <v>0</v>
      </c>
      <c r="V48" s="37">
        <v>0</v>
      </c>
      <c r="W48" s="1" t="s">
        <v>113</v>
      </c>
      <c r="Y48" s="37">
        <v>2</v>
      </c>
      <c r="Z48" s="30">
        <v>427</v>
      </c>
      <c r="AA48" s="40"/>
    </row>
    <row r="49" spans="1:31" ht="16" x14ac:dyDescent="0.2">
      <c r="A49" s="1">
        <v>2025</v>
      </c>
      <c r="B49" s="114">
        <v>30</v>
      </c>
      <c r="C49" s="1" t="s">
        <v>103</v>
      </c>
      <c r="D49" s="2" t="s">
        <v>77</v>
      </c>
      <c r="E49" s="1"/>
      <c r="F49" s="39" t="s">
        <v>137</v>
      </c>
      <c r="G49" s="1"/>
      <c r="H49" s="1"/>
      <c r="I49" s="2" t="s">
        <v>123</v>
      </c>
      <c r="J49" s="11"/>
      <c r="K49" s="33" t="s">
        <v>107</v>
      </c>
      <c r="N49" s="1" t="s">
        <v>108</v>
      </c>
      <c r="O49" s="1" t="s">
        <v>138</v>
      </c>
      <c r="P49" s="37">
        <v>1</v>
      </c>
      <c r="Q49" s="37">
        <v>1</v>
      </c>
      <c r="R49" s="37">
        <v>0</v>
      </c>
      <c r="S49" s="37">
        <v>1</v>
      </c>
      <c r="T49" s="37">
        <v>0</v>
      </c>
      <c r="U49" s="37">
        <v>0</v>
      </c>
      <c r="V49" s="37">
        <v>0</v>
      </c>
      <c r="W49" s="1" t="s">
        <v>113</v>
      </c>
      <c r="Y49" s="37">
        <v>2</v>
      </c>
      <c r="Z49" s="1">
        <v>2069</v>
      </c>
      <c r="AA49" s="38"/>
      <c r="AE49" s="38"/>
    </row>
    <row r="50" spans="1:31" ht="16" x14ac:dyDescent="0.2">
      <c r="A50" s="1">
        <v>2025</v>
      </c>
      <c r="B50" s="36">
        <v>44</v>
      </c>
      <c r="C50" s="1" t="s">
        <v>103</v>
      </c>
      <c r="D50" s="2" t="s">
        <v>77</v>
      </c>
      <c r="E50" s="1"/>
      <c r="F50" s="39" t="s">
        <v>137</v>
      </c>
      <c r="G50" s="1"/>
      <c r="H50" s="1"/>
      <c r="I50" s="2" t="s">
        <v>123</v>
      </c>
      <c r="J50" s="11"/>
      <c r="K50" s="33" t="s">
        <v>107</v>
      </c>
      <c r="N50" s="1" t="s">
        <v>128</v>
      </c>
      <c r="O50" s="1" t="s">
        <v>125</v>
      </c>
      <c r="P50" s="37">
        <v>1</v>
      </c>
      <c r="Q50" s="37">
        <v>1</v>
      </c>
      <c r="R50" s="37">
        <v>0</v>
      </c>
      <c r="S50" s="37">
        <v>0</v>
      </c>
      <c r="T50" s="37">
        <v>0</v>
      </c>
      <c r="U50" s="37">
        <v>0</v>
      </c>
      <c r="V50" s="37">
        <v>0</v>
      </c>
      <c r="W50" s="30" t="s">
        <v>110</v>
      </c>
      <c r="Y50" s="37">
        <v>2</v>
      </c>
      <c r="Z50" s="1">
        <v>528</v>
      </c>
      <c r="AA50" s="38"/>
      <c r="AE50" s="38"/>
    </row>
    <row r="51" spans="1:31" ht="16" x14ac:dyDescent="0.2">
      <c r="A51" s="1">
        <v>2025</v>
      </c>
      <c r="B51" s="36">
        <v>45</v>
      </c>
      <c r="C51" s="1" t="s">
        <v>111</v>
      </c>
      <c r="D51" s="2" t="s">
        <v>77</v>
      </c>
      <c r="E51" s="1"/>
      <c r="F51" s="2" t="s">
        <v>137</v>
      </c>
      <c r="G51" s="1"/>
      <c r="H51" s="2" t="s">
        <v>105</v>
      </c>
      <c r="I51" s="2" t="s">
        <v>123</v>
      </c>
      <c r="J51" s="11"/>
      <c r="K51" s="33" t="s">
        <v>116</v>
      </c>
      <c r="N51" s="1" t="s">
        <v>128</v>
      </c>
      <c r="O51" s="1" t="s">
        <v>138</v>
      </c>
      <c r="P51" s="37">
        <v>0</v>
      </c>
      <c r="Q51" s="37">
        <v>1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1" t="s">
        <v>113</v>
      </c>
      <c r="Y51" s="37">
        <v>2</v>
      </c>
      <c r="Z51" s="1">
        <v>984</v>
      </c>
      <c r="AA51" s="38"/>
      <c r="AE51" s="38"/>
    </row>
    <row r="52" spans="1:31" ht="16" x14ac:dyDescent="0.2">
      <c r="A52" s="1">
        <v>2025</v>
      </c>
      <c r="B52" s="36">
        <v>46</v>
      </c>
      <c r="C52" s="1" t="s">
        <v>111</v>
      </c>
      <c r="D52" s="2" t="s">
        <v>77</v>
      </c>
      <c r="E52" s="1"/>
      <c r="F52" s="2" t="s">
        <v>137</v>
      </c>
      <c r="G52" s="1"/>
      <c r="H52" s="2"/>
      <c r="I52" s="2" t="s">
        <v>123</v>
      </c>
      <c r="J52" s="11"/>
      <c r="K52" s="33" t="s">
        <v>139</v>
      </c>
      <c r="N52" s="1" t="s">
        <v>128</v>
      </c>
      <c r="O52" s="1" t="s">
        <v>140</v>
      </c>
      <c r="P52" s="37">
        <v>1</v>
      </c>
      <c r="Q52" s="37">
        <v>0</v>
      </c>
      <c r="R52" s="37">
        <v>1</v>
      </c>
      <c r="S52" s="37">
        <v>0</v>
      </c>
      <c r="T52" s="37">
        <v>0</v>
      </c>
      <c r="U52" s="37">
        <v>1</v>
      </c>
      <c r="V52" s="37">
        <v>0</v>
      </c>
      <c r="W52" s="1" t="s">
        <v>113</v>
      </c>
      <c r="Y52" s="37">
        <v>2</v>
      </c>
      <c r="Z52" s="1">
        <v>193</v>
      </c>
      <c r="AA52" s="38"/>
      <c r="AE52" s="38"/>
    </row>
    <row r="53" spans="1:31" ht="16" x14ac:dyDescent="0.2">
      <c r="A53" s="1">
        <v>2025</v>
      </c>
      <c r="B53" s="36">
        <v>47</v>
      </c>
      <c r="C53" s="1" t="s">
        <v>111</v>
      </c>
      <c r="D53" s="2" t="s">
        <v>77</v>
      </c>
      <c r="E53" s="1"/>
      <c r="F53" s="39" t="s">
        <v>137</v>
      </c>
      <c r="G53" s="1"/>
      <c r="H53" s="1" t="s">
        <v>105</v>
      </c>
      <c r="I53" s="2" t="s">
        <v>123</v>
      </c>
      <c r="J53" s="11"/>
      <c r="K53" s="33" t="s">
        <v>116</v>
      </c>
      <c r="N53" s="1" t="s">
        <v>128</v>
      </c>
      <c r="O53" s="1" t="s">
        <v>141</v>
      </c>
      <c r="P53" s="37">
        <v>1</v>
      </c>
      <c r="Q53" s="37">
        <v>1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1" t="s">
        <v>113</v>
      </c>
      <c r="Y53" s="37">
        <v>2</v>
      </c>
      <c r="Z53" s="30">
        <v>1884</v>
      </c>
      <c r="AA53" s="40"/>
      <c r="AE53" s="38"/>
    </row>
    <row r="54" spans="1:31" ht="16" x14ac:dyDescent="0.2">
      <c r="A54" s="1">
        <v>2025</v>
      </c>
      <c r="B54" s="36">
        <v>48</v>
      </c>
      <c r="C54" s="1" t="s">
        <v>103</v>
      </c>
      <c r="D54" s="2" t="s">
        <v>77</v>
      </c>
      <c r="E54" s="1"/>
      <c r="F54" s="39" t="s">
        <v>137</v>
      </c>
      <c r="G54" s="1"/>
      <c r="H54" s="1"/>
      <c r="I54" s="2" t="s">
        <v>123</v>
      </c>
      <c r="J54" s="41"/>
      <c r="K54" s="33" t="s">
        <v>139</v>
      </c>
      <c r="N54" s="1" t="s">
        <v>128</v>
      </c>
      <c r="O54" s="1" t="s">
        <v>127</v>
      </c>
      <c r="P54" s="42">
        <v>0</v>
      </c>
      <c r="Q54" s="37">
        <v>1</v>
      </c>
      <c r="R54" s="37">
        <v>0</v>
      </c>
      <c r="S54" s="37">
        <v>0</v>
      </c>
      <c r="T54" s="37">
        <v>0</v>
      </c>
      <c r="U54" s="37">
        <v>0</v>
      </c>
      <c r="V54" s="37">
        <v>0</v>
      </c>
      <c r="W54" s="1" t="s">
        <v>113</v>
      </c>
      <c r="Y54" s="37">
        <v>2</v>
      </c>
      <c r="Z54" s="43">
        <v>628</v>
      </c>
      <c r="AA54" s="44" t="s">
        <v>142</v>
      </c>
      <c r="AE54" s="38"/>
    </row>
    <row r="55" spans="1:31" ht="16" x14ac:dyDescent="0.2">
      <c r="A55" s="1">
        <v>2025</v>
      </c>
      <c r="B55" s="36">
        <v>61</v>
      </c>
      <c r="C55" s="1" t="s">
        <v>103</v>
      </c>
      <c r="D55" s="2" t="s">
        <v>77</v>
      </c>
      <c r="E55" s="1"/>
      <c r="F55" s="39" t="s">
        <v>137</v>
      </c>
      <c r="G55" s="1"/>
      <c r="H55" s="1"/>
      <c r="I55" s="1" t="s">
        <v>123</v>
      </c>
      <c r="J55" s="11"/>
      <c r="K55" s="33" t="s">
        <v>107</v>
      </c>
      <c r="N55" s="1" t="s">
        <v>108</v>
      </c>
      <c r="O55" s="1" t="s">
        <v>124</v>
      </c>
      <c r="P55" s="37">
        <v>0</v>
      </c>
      <c r="Q55" s="37">
        <v>0</v>
      </c>
      <c r="R55" s="37">
        <v>0</v>
      </c>
      <c r="S55" s="37">
        <v>1</v>
      </c>
      <c r="T55" s="37">
        <v>0</v>
      </c>
      <c r="U55" s="37">
        <v>0</v>
      </c>
      <c r="V55" s="37">
        <v>0</v>
      </c>
      <c r="W55" s="1" t="s">
        <v>113</v>
      </c>
      <c r="Y55" s="37">
        <v>2</v>
      </c>
      <c r="Z55" s="1">
        <v>195</v>
      </c>
      <c r="AA55" s="38"/>
      <c r="AE55" s="38"/>
    </row>
    <row r="56" spans="1:31" ht="16" x14ac:dyDescent="0.2">
      <c r="A56" s="1">
        <v>2025</v>
      </c>
      <c r="B56" s="36">
        <v>62</v>
      </c>
      <c r="C56" s="1" t="s">
        <v>103</v>
      </c>
      <c r="D56" s="2" t="s">
        <v>77</v>
      </c>
      <c r="E56" s="1"/>
      <c r="F56" s="2" t="s">
        <v>137</v>
      </c>
      <c r="G56" s="1"/>
      <c r="H56" s="1"/>
      <c r="I56" s="1" t="s">
        <v>123</v>
      </c>
      <c r="J56" s="11"/>
      <c r="K56" s="33" t="s">
        <v>107</v>
      </c>
      <c r="N56" s="1" t="s">
        <v>108</v>
      </c>
      <c r="O56" s="1" t="s">
        <v>124</v>
      </c>
      <c r="P56" s="37">
        <v>0</v>
      </c>
      <c r="Q56" s="37">
        <v>0</v>
      </c>
      <c r="R56" s="37">
        <v>0</v>
      </c>
      <c r="S56" s="37">
        <v>1</v>
      </c>
      <c r="T56" s="37">
        <v>0</v>
      </c>
      <c r="U56" s="37">
        <v>0</v>
      </c>
      <c r="V56" s="37">
        <v>0</v>
      </c>
      <c r="W56" s="1" t="s">
        <v>113</v>
      </c>
      <c r="Y56" s="37">
        <v>2</v>
      </c>
      <c r="Z56" s="1">
        <v>1157</v>
      </c>
      <c r="AA56" s="38"/>
      <c r="AE56" s="38"/>
    </row>
    <row r="57" spans="1:31" ht="16" x14ac:dyDescent="0.2">
      <c r="A57" s="1">
        <v>2025</v>
      </c>
      <c r="B57" s="36">
        <v>63</v>
      </c>
      <c r="C57" s="1" t="s">
        <v>111</v>
      </c>
      <c r="D57" s="2" t="s">
        <v>77</v>
      </c>
      <c r="E57" s="1"/>
      <c r="F57" s="2" t="s">
        <v>137</v>
      </c>
      <c r="G57" s="1"/>
      <c r="H57" s="1"/>
      <c r="I57" s="1" t="s">
        <v>123</v>
      </c>
      <c r="J57" s="11"/>
      <c r="K57" s="33" t="s">
        <v>121</v>
      </c>
      <c r="N57" s="1" t="s">
        <v>108</v>
      </c>
      <c r="O57" s="1" t="s">
        <v>127</v>
      </c>
      <c r="P57" s="37">
        <v>1</v>
      </c>
      <c r="Q57" s="37">
        <v>0</v>
      </c>
      <c r="R57" s="37">
        <v>0</v>
      </c>
      <c r="S57" s="37">
        <v>1</v>
      </c>
      <c r="T57" s="37">
        <v>0</v>
      </c>
      <c r="U57" s="37">
        <v>0</v>
      </c>
      <c r="V57" s="37">
        <v>0</v>
      </c>
      <c r="W57" s="1" t="s">
        <v>113</v>
      </c>
      <c r="Y57" s="37">
        <v>2</v>
      </c>
      <c r="Z57" s="1">
        <v>45905</v>
      </c>
    </row>
    <row r="58" spans="1:31" ht="16" x14ac:dyDescent="0.2">
      <c r="A58" s="1">
        <v>2025</v>
      </c>
      <c r="B58" s="36">
        <v>71</v>
      </c>
      <c r="C58" s="1" t="s">
        <v>103</v>
      </c>
      <c r="D58" s="2" t="s">
        <v>77</v>
      </c>
      <c r="E58" s="1"/>
      <c r="F58" s="39" t="s">
        <v>137</v>
      </c>
      <c r="G58" s="1"/>
      <c r="H58" s="1"/>
      <c r="I58" s="1" t="s">
        <v>106</v>
      </c>
      <c r="J58" s="11"/>
      <c r="K58" s="33" t="s">
        <v>107</v>
      </c>
      <c r="N58" s="1" t="s">
        <v>128</v>
      </c>
      <c r="O58" s="1" t="s">
        <v>109</v>
      </c>
      <c r="P58" s="42">
        <v>0</v>
      </c>
      <c r="Q58" s="37">
        <v>1</v>
      </c>
      <c r="R58" s="37">
        <v>0</v>
      </c>
      <c r="S58" s="37">
        <v>0</v>
      </c>
      <c r="T58" s="37">
        <v>0</v>
      </c>
      <c r="U58" s="37">
        <v>0</v>
      </c>
      <c r="V58" s="37">
        <v>0</v>
      </c>
      <c r="W58" s="1" t="s">
        <v>143</v>
      </c>
      <c r="Y58" s="37">
        <v>2</v>
      </c>
      <c r="Z58" s="43">
        <v>983</v>
      </c>
      <c r="AA58" s="44" t="s">
        <v>142</v>
      </c>
      <c r="AE58" s="38"/>
    </row>
    <row r="59" spans="1:31" ht="16" x14ac:dyDescent="0.2">
      <c r="A59" s="1">
        <v>2025</v>
      </c>
      <c r="B59" s="36">
        <v>72</v>
      </c>
      <c r="C59" s="1" t="s">
        <v>111</v>
      </c>
      <c r="D59" s="2" t="s">
        <v>77</v>
      </c>
      <c r="E59" s="1"/>
      <c r="F59" s="39" t="s">
        <v>137</v>
      </c>
      <c r="G59" s="1"/>
      <c r="H59" s="1" t="s">
        <v>105</v>
      </c>
      <c r="I59" s="1" t="s">
        <v>106</v>
      </c>
      <c r="J59" s="11"/>
      <c r="K59" s="33" t="s">
        <v>116</v>
      </c>
      <c r="N59" s="1" t="s">
        <v>128</v>
      </c>
      <c r="O59" s="1" t="s">
        <v>109</v>
      </c>
      <c r="P59" s="37">
        <v>1</v>
      </c>
      <c r="Q59" s="37">
        <v>1</v>
      </c>
      <c r="R59" s="37">
        <v>0</v>
      </c>
      <c r="S59" s="37">
        <v>0</v>
      </c>
      <c r="T59" s="37">
        <v>0</v>
      </c>
      <c r="U59" s="37">
        <v>0</v>
      </c>
      <c r="V59" s="37">
        <v>0</v>
      </c>
      <c r="W59" s="1" t="s">
        <v>113</v>
      </c>
      <c r="Y59" s="37">
        <v>2</v>
      </c>
      <c r="Z59" s="1">
        <v>2156</v>
      </c>
      <c r="AA59" s="38"/>
      <c r="AE59" s="38"/>
    </row>
    <row r="60" spans="1:31" ht="16" x14ac:dyDescent="0.2">
      <c r="A60" s="1">
        <v>2025</v>
      </c>
      <c r="B60" s="36">
        <v>73</v>
      </c>
      <c r="C60" s="1" t="s">
        <v>111</v>
      </c>
      <c r="D60" s="2" t="s">
        <v>77</v>
      </c>
      <c r="E60" s="1"/>
      <c r="F60" s="39" t="s">
        <v>137</v>
      </c>
      <c r="G60" s="1"/>
      <c r="H60" s="1"/>
      <c r="I60" s="1" t="s">
        <v>106</v>
      </c>
      <c r="J60" s="11"/>
      <c r="K60" s="33" t="s">
        <v>116</v>
      </c>
      <c r="N60" s="1" t="s">
        <v>128</v>
      </c>
      <c r="O60" s="1" t="s">
        <v>127</v>
      </c>
      <c r="P60" s="37">
        <v>1</v>
      </c>
      <c r="Q60" s="37">
        <v>1</v>
      </c>
      <c r="R60" s="37">
        <v>0</v>
      </c>
      <c r="S60" s="37">
        <v>1</v>
      </c>
      <c r="T60" s="37">
        <v>0</v>
      </c>
      <c r="U60" s="37">
        <v>0</v>
      </c>
      <c r="V60" s="37">
        <v>0</v>
      </c>
      <c r="W60" s="1" t="s">
        <v>113</v>
      </c>
      <c r="Y60" s="37">
        <v>2</v>
      </c>
      <c r="Z60" s="1">
        <v>81</v>
      </c>
      <c r="AA60" s="38"/>
      <c r="AE60" s="38"/>
    </row>
    <row r="61" spans="1:31" ht="16" x14ac:dyDescent="0.2">
      <c r="A61" s="1">
        <v>2025</v>
      </c>
      <c r="B61" s="36">
        <v>74</v>
      </c>
      <c r="C61" s="1" t="s">
        <v>103</v>
      </c>
      <c r="D61" s="2" t="s">
        <v>77</v>
      </c>
      <c r="E61" s="1"/>
      <c r="F61" s="2" t="s">
        <v>137</v>
      </c>
      <c r="G61" s="1"/>
      <c r="H61" s="1"/>
      <c r="I61" s="1" t="s">
        <v>106</v>
      </c>
      <c r="J61" s="11"/>
      <c r="K61" s="33" t="s">
        <v>116</v>
      </c>
      <c r="N61" s="1" t="s">
        <v>128</v>
      </c>
      <c r="O61" s="1" t="s">
        <v>109</v>
      </c>
      <c r="P61" s="37">
        <v>1</v>
      </c>
      <c r="Q61" s="37">
        <v>1</v>
      </c>
      <c r="R61" s="37">
        <v>0</v>
      </c>
      <c r="S61" s="37">
        <v>1</v>
      </c>
      <c r="T61" s="37">
        <v>0</v>
      </c>
      <c r="U61" s="37">
        <v>0</v>
      </c>
      <c r="V61" s="37">
        <v>0</v>
      </c>
      <c r="W61" s="1" t="s">
        <v>110</v>
      </c>
      <c r="Y61" s="37">
        <v>2</v>
      </c>
      <c r="Z61" s="1">
        <v>54</v>
      </c>
      <c r="AA61" s="38"/>
    </row>
    <row r="62" spans="1:31" ht="16" x14ac:dyDescent="0.2">
      <c r="A62" s="1">
        <v>2025</v>
      </c>
      <c r="B62" s="36">
        <v>75</v>
      </c>
      <c r="C62" s="1" t="s">
        <v>103</v>
      </c>
      <c r="D62" s="2" t="s">
        <v>77</v>
      </c>
      <c r="E62" s="1"/>
      <c r="F62" s="2" t="s">
        <v>137</v>
      </c>
      <c r="G62" s="1"/>
      <c r="H62" s="1"/>
      <c r="I62" s="1" t="s">
        <v>106</v>
      </c>
      <c r="J62" s="11"/>
      <c r="K62" s="33" t="s">
        <v>107</v>
      </c>
      <c r="N62" s="1" t="s">
        <v>128</v>
      </c>
      <c r="O62" s="1" t="s">
        <v>127</v>
      </c>
      <c r="P62" s="37">
        <v>1</v>
      </c>
      <c r="Q62" s="37">
        <v>1</v>
      </c>
      <c r="R62" s="37">
        <v>0</v>
      </c>
      <c r="S62" s="37">
        <v>1</v>
      </c>
      <c r="T62" s="37">
        <v>0</v>
      </c>
      <c r="U62" s="37">
        <v>0</v>
      </c>
      <c r="V62" s="37">
        <v>0</v>
      </c>
      <c r="W62" s="1" t="s">
        <v>110</v>
      </c>
      <c r="Y62" s="37">
        <v>2</v>
      </c>
      <c r="Z62" s="30">
        <v>1153</v>
      </c>
      <c r="AA62" s="40"/>
      <c r="AE62" s="38"/>
    </row>
    <row r="63" spans="1:31" ht="16" x14ac:dyDescent="0.2">
      <c r="A63" s="1">
        <v>2025</v>
      </c>
      <c r="B63" s="36">
        <v>76</v>
      </c>
      <c r="C63" s="1" t="s">
        <v>103</v>
      </c>
      <c r="D63" s="2" t="s">
        <v>77</v>
      </c>
      <c r="E63" s="1"/>
      <c r="F63" s="39" t="s">
        <v>137</v>
      </c>
      <c r="G63" s="1"/>
      <c r="H63" s="1"/>
      <c r="I63" s="1" t="s">
        <v>106</v>
      </c>
      <c r="J63" s="11"/>
      <c r="K63" s="33" t="s">
        <v>107</v>
      </c>
      <c r="N63" s="1" t="s">
        <v>128</v>
      </c>
      <c r="O63" s="1" t="s">
        <v>109</v>
      </c>
      <c r="P63" s="42" t="s">
        <v>144</v>
      </c>
      <c r="Q63" s="37"/>
      <c r="R63" s="37"/>
      <c r="S63" s="37"/>
      <c r="T63" s="37"/>
      <c r="U63" s="37"/>
      <c r="V63" s="37"/>
      <c r="Y63" s="37"/>
      <c r="AE63" s="38"/>
    </row>
    <row r="64" spans="1:31" ht="16" x14ac:dyDescent="0.2">
      <c r="A64" s="1">
        <v>2025</v>
      </c>
      <c r="B64" s="36">
        <v>77</v>
      </c>
      <c r="C64" s="1" t="s">
        <v>111</v>
      </c>
      <c r="D64" s="2" t="s">
        <v>77</v>
      </c>
      <c r="E64" s="1"/>
      <c r="F64" s="39" t="s">
        <v>137</v>
      </c>
      <c r="G64" s="1"/>
      <c r="H64" s="61" t="s">
        <v>105</v>
      </c>
      <c r="I64" s="1" t="s">
        <v>106</v>
      </c>
      <c r="J64" s="11"/>
      <c r="K64" s="33" t="s">
        <v>107</v>
      </c>
      <c r="N64" s="1" t="s">
        <v>128</v>
      </c>
      <c r="O64" s="1" t="s">
        <v>122</v>
      </c>
      <c r="P64" s="37">
        <v>0</v>
      </c>
      <c r="Q64" s="37">
        <v>0</v>
      </c>
      <c r="R64" s="37">
        <v>1</v>
      </c>
      <c r="S64" s="37">
        <v>0</v>
      </c>
      <c r="T64" s="37">
        <v>0</v>
      </c>
      <c r="U64" s="37">
        <v>0</v>
      </c>
      <c r="V64" s="37">
        <v>0</v>
      </c>
      <c r="W64" s="1" t="s">
        <v>113</v>
      </c>
      <c r="Y64" s="37">
        <v>2</v>
      </c>
      <c r="Z64" s="1">
        <v>45901</v>
      </c>
      <c r="AE64" s="38"/>
    </row>
    <row r="65" spans="1:31" ht="16" x14ac:dyDescent="0.2">
      <c r="A65" s="1">
        <v>2025</v>
      </c>
      <c r="B65" s="36">
        <v>78</v>
      </c>
      <c r="C65" s="1" t="s">
        <v>103</v>
      </c>
      <c r="D65" s="2" t="s">
        <v>77</v>
      </c>
      <c r="E65" s="1"/>
      <c r="F65" s="39" t="s">
        <v>137</v>
      </c>
      <c r="G65" s="1"/>
      <c r="H65" s="1"/>
      <c r="I65" s="1" t="s">
        <v>106</v>
      </c>
      <c r="J65" s="41"/>
      <c r="K65" s="33" t="s">
        <v>116</v>
      </c>
      <c r="N65" s="1" t="s">
        <v>128</v>
      </c>
      <c r="O65" s="1" t="s">
        <v>109</v>
      </c>
      <c r="P65" s="37">
        <v>0</v>
      </c>
      <c r="Q65" s="37">
        <v>1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1" t="s">
        <v>110</v>
      </c>
      <c r="Y65" s="37">
        <v>2</v>
      </c>
      <c r="Z65" s="1">
        <v>1556</v>
      </c>
      <c r="AA65" s="38"/>
      <c r="AE65" s="38"/>
    </row>
    <row r="66" spans="1:31" ht="16" x14ac:dyDescent="0.2">
      <c r="A66" s="1">
        <v>2025</v>
      </c>
      <c r="B66" s="36">
        <v>79</v>
      </c>
      <c r="C66" s="1" t="s">
        <v>103</v>
      </c>
      <c r="D66" s="2" t="s">
        <v>77</v>
      </c>
      <c r="E66" s="1"/>
      <c r="F66" s="2" t="s">
        <v>137</v>
      </c>
      <c r="G66" s="1"/>
      <c r="H66" s="1"/>
      <c r="I66" s="1" t="s">
        <v>106</v>
      </c>
      <c r="J66" s="11"/>
      <c r="K66" s="33" t="s">
        <v>116</v>
      </c>
      <c r="N66" s="1" t="s">
        <v>128</v>
      </c>
      <c r="O66" s="33" t="s">
        <v>145</v>
      </c>
      <c r="P66" s="37">
        <v>1</v>
      </c>
      <c r="Q66" s="37">
        <v>0</v>
      </c>
      <c r="R66" s="37">
        <v>0</v>
      </c>
      <c r="S66" s="37">
        <v>1</v>
      </c>
      <c r="T66" s="37">
        <v>0</v>
      </c>
      <c r="U66" s="37">
        <v>0</v>
      </c>
      <c r="V66" s="37">
        <v>0</v>
      </c>
      <c r="W66" s="30" t="s">
        <v>110</v>
      </c>
      <c r="Y66" s="37">
        <v>2</v>
      </c>
      <c r="Z66" s="1">
        <v>749</v>
      </c>
      <c r="AA66" s="38"/>
    </row>
    <row r="67" spans="1:31" ht="16" x14ac:dyDescent="0.2">
      <c r="A67" s="1">
        <v>2025</v>
      </c>
      <c r="B67" s="36">
        <v>80</v>
      </c>
      <c r="C67" s="1" t="s">
        <v>111</v>
      </c>
      <c r="D67" s="2" t="s">
        <v>77</v>
      </c>
      <c r="E67" s="1"/>
      <c r="F67" s="2" t="s">
        <v>137</v>
      </c>
      <c r="G67" s="1"/>
      <c r="H67" s="2" t="s">
        <v>105</v>
      </c>
      <c r="I67" s="1" t="s">
        <v>106</v>
      </c>
      <c r="J67" s="11"/>
      <c r="K67" s="33" t="s">
        <v>116</v>
      </c>
      <c r="N67" s="1" t="s">
        <v>128</v>
      </c>
      <c r="O67" s="1" t="s">
        <v>109</v>
      </c>
      <c r="P67" s="37">
        <v>1</v>
      </c>
      <c r="Q67" s="37">
        <v>1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33" t="s">
        <v>110</v>
      </c>
      <c r="Y67" s="37">
        <v>2</v>
      </c>
      <c r="Z67" s="1">
        <v>1542</v>
      </c>
      <c r="AA67" s="38"/>
      <c r="AE67" s="38"/>
    </row>
    <row r="68" spans="1:31" ht="16" x14ac:dyDescent="0.2">
      <c r="A68" s="1">
        <v>2025</v>
      </c>
      <c r="B68" s="36">
        <v>96</v>
      </c>
      <c r="C68" s="1" t="s">
        <v>103</v>
      </c>
      <c r="D68" s="2" t="s">
        <v>77</v>
      </c>
      <c r="E68" s="1"/>
      <c r="F68" s="39" t="s">
        <v>137</v>
      </c>
      <c r="G68" s="1"/>
      <c r="H68" s="1"/>
      <c r="I68" s="1" t="s">
        <v>106</v>
      </c>
      <c r="J68" s="11"/>
      <c r="K68" s="33" t="s">
        <v>107</v>
      </c>
      <c r="N68" s="1" t="s">
        <v>108</v>
      </c>
      <c r="O68" s="1" t="s">
        <v>109</v>
      </c>
      <c r="P68" s="37">
        <v>0</v>
      </c>
      <c r="Q68" s="37">
        <v>1</v>
      </c>
      <c r="R68" s="37">
        <v>0</v>
      </c>
      <c r="S68" s="37">
        <v>0</v>
      </c>
      <c r="T68" s="37">
        <v>0</v>
      </c>
      <c r="U68" s="37">
        <v>0</v>
      </c>
      <c r="V68" s="37">
        <v>0</v>
      </c>
      <c r="W68" s="33" t="s">
        <v>110</v>
      </c>
      <c r="Y68" s="37">
        <v>2</v>
      </c>
      <c r="Z68" s="1">
        <v>1533</v>
      </c>
      <c r="AA68" s="38"/>
      <c r="AE68" s="38"/>
    </row>
    <row r="69" spans="1:31" ht="16" x14ac:dyDescent="0.2">
      <c r="A69" s="1">
        <v>2025</v>
      </c>
      <c r="B69" s="36">
        <v>97</v>
      </c>
      <c r="C69" s="1" t="s">
        <v>103</v>
      </c>
      <c r="D69" s="2" t="s">
        <v>77</v>
      </c>
      <c r="E69" s="1"/>
      <c r="F69" s="39" t="s">
        <v>137</v>
      </c>
      <c r="G69" s="1"/>
      <c r="H69" s="1"/>
      <c r="I69" s="1" t="s">
        <v>106</v>
      </c>
      <c r="J69" s="11"/>
      <c r="K69" s="33" t="s">
        <v>116</v>
      </c>
      <c r="N69" s="1" t="s">
        <v>108</v>
      </c>
      <c r="O69" s="45" t="s">
        <v>109</v>
      </c>
      <c r="P69" s="37">
        <v>0</v>
      </c>
      <c r="Q69" s="37">
        <v>0</v>
      </c>
      <c r="R69" s="37">
        <v>0</v>
      </c>
      <c r="S69" s="37">
        <v>1</v>
      </c>
      <c r="T69" s="37">
        <v>0</v>
      </c>
      <c r="U69" s="37">
        <v>0</v>
      </c>
      <c r="V69" s="37">
        <v>0</v>
      </c>
      <c r="W69" s="33" t="s">
        <v>110</v>
      </c>
      <c r="Y69" s="37">
        <v>2</v>
      </c>
      <c r="Z69" s="1">
        <v>456</v>
      </c>
      <c r="AA69" s="38"/>
      <c r="AE69" s="38"/>
    </row>
    <row r="70" spans="1:31" ht="16" x14ac:dyDescent="0.2">
      <c r="A70" s="1">
        <v>2025</v>
      </c>
      <c r="B70" s="36">
        <v>98</v>
      </c>
      <c r="C70" s="1" t="s">
        <v>111</v>
      </c>
      <c r="D70" s="2" t="s">
        <v>77</v>
      </c>
      <c r="E70" s="1"/>
      <c r="F70" s="39" t="s">
        <v>137</v>
      </c>
      <c r="G70" s="1"/>
      <c r="H70" s="1" t="s">
        <v>105</v>
      </c>
      <c r="I70" s="1" t="s">
        <v>106</v>
      </c>
      <c r="J70" s="11"/>
      <c r="K70" s="33" t="s">
        <v>116</v>
      </c>
      <c r="N70" s="1" t="s">
        <v>108</v>
      </c>
      <c r="O70" s="1" t="s">
        <v>146</v>
      </c>
      <c r="P70" s="42" t="s">
        <v>144</v>
      </c>
      <c r="Q70" s="37"/>
      <c r="R70" s="37"/>
      <c r="S70" s="37"/>
      <c r="T70" s="37"/>
      <c r="U70" s="37"/>
      <c r="V70" s="37"/>
      <c r="Y70" s="37"/>
      <c r="AE70" s="38"/>
    </row>
    <row r="71" spans="1:31" ht="16" x14ac:dyDescent="0.2">
      <c r="A71" s="1">
        <v>2025</v>
      </c>
      <c r="B71" s="36">
        <v>99</v>
      </c>
      <c r="C71" s="1" t="s">
        <v>111</v>
      </c>
      <c r="D71" s="2" t="s">
        <v>77</v>
      </c>
      <c r="E71" s="1"/>
      <c r="F71" s="39" t="s">
        <v>137</v>
      </c>
      <c r="G71" s="1"/>
      <c r="H71" s="1" t="s">
        <v>105</v>
      </c>
      <c r="I71" s="1" t="s">
        <v>106</v>
      </c>
      <c r="J71" s="11"/>
      <c r="K71" s="1" t="s">
        <v>107</v>
      </c>
      <c r="N71" s="1" t="s">
        <v>108</v>
      </c>
      <c r="O71" s="1" t="s">
        <v>109</v>
      </c>
      <c r="P71" s="37">
        <v>1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1" t="s">
        <v>113</v>
      </c>
      <c r="Y71" s="37">
        <v>2</v>
      </c>
      <c r="Z71" s="1">
        <v>348</v>
      </c>
      <c r="AA71" s="38"/>
      <c r="AE71" s="38"/>
    </row>
    <row r="72" spans="1:31" x14ac:dyDescent="0.2">
      <c r="AE72" s="38"/>
    </row>
    <row r="74" spans="1:31" x14ac:dyDescent="0.2">
      <c r="AE74" s="38"/>
    </row>
    <row r="75" spans="1:31" x14ac:dyDescent="0.2">
      <c r="P75" s="37"/>
      <c r="Q75" s="37"/>
      <c r="R75" s="37"/>
      <c r="S75" s="37"/>
      <c r="T75" s="37"/>
      <c r="U75" s="37"/>
      <c r="V75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1945-45E7-F044-BCCC-D12016D6D61C}">
  <dimension ref="A1:AG89"/>
  <sheetViews>
    <sheetView topLeftCell="B1" workbookViewId="0">
      <pane ySplit="2" topLeftCell="A56" activePane="bottomLeft" state="frozen"/>
      <selection pane="bottomLeft" activeCell="B56" sqref="B56"/>
    </sheetView>
  </sheetViews>
  <sheetFormatPr baseColWidth="10" defaultRowHeight="15" x14ac:dyDescent="0.2"/>
  <cols>
    <col min="1" max="1" width="10.83203125" style="1"/>
    <col min="2" max="2" width="7.83203125" style="1" customWidth="1"/>
    <col min="3" max="3" width="11" style="1" customWidth="1"/>
    <col min="4" max="27" width="5.1640625" style="1" customWidth="1"/>
    <col min="28" max="28" width="7.5" style="1" bestFit="1" customWidth="1"/>
    <col min="29" max="29" width="7.83203125" style="1" bestFit="1" customWidth="1"/>
    <col min="30" max="30" width="11.83203125" style="1" bestFit="1" customWidth="1"/>
    <col min="31" max="31" width="20.83203125" style="1" bestFit="1" customWidth="1"/>
    <col min="32" max="16384" width="10.83203125" style="1"/>
  </cols>
  <sheetData>
    <row r="1" spans="1:31" s="52" customFormat="1" x14ac:dyDescent="0.2">
      <c r="B1" s="53"/>
      <c r="C1" s="53" t="s">
        <v>183</v>
      </c>
      <c r="D1" s="52">
        <v>1</v>
      </c>
      <c r="E1" s="52">
        <v>2</v>
      </c>
      <c r="F1" s="52">
        <v>3</v>
      </c>
      <c r="G1" s="52">
        <v>4</v>
      </c>
      <c r="H1" s="52">
        <v>5</v>
      </c>
      <c r="I1" s="52">
        <v>6</v>
      </c>
      <c r="J1" s="52">
        <v>7</v>
      </c>
      <c r="K1" s="52">
        <v>8</v>
      </c>
      <c r="L1" s="52">
        <v>9</v>
      </c>
      <c r="M1" s="52">
        <v>10</v>
      </c>
      <c r="N1" s="52">
        <v>11</v>
      </c>
      <c r="O1" s="52">
        <v>12</v>
      </c>
      <c r="P1" s="52">
        <v>13</v>
      </c>
      <c r="Q1" s="52">
        <v>14</v>
      </c>
      <c r="R1" s="52">
        <v>15</v>
      </c>
      <c r="S1" s="52">
        <v>16</v>
      </c>
      <c r="T1" s="52">
        <v>17</v>
      </c>
      <c r="U1" s="52">
        <v>18</v>
      </c>
      <c r="V1" s="52">
        <v>19</v>
      </c>
      <c r="W1" s="52">
        <v>20</v>
      </c>
      <c r="X1" s="52">
        <v>21</v>
      </c>
      <c r="Y1" s="52">
        <v>22</v>
      </c>
      <c r="Z1" s="52">
        <v>23</v>
      </c>
      <c r="AA1" s="52">
        <v>24</v>
      </c>
      <c r="AB1" s="52" t="s">
        <v>184</v>
      </c>
      <c r="AC1" s="52" t="s">
        <v>185</v>
      </c>
      <c r="AD1" s="52" t="s">
        <v>186</v>
      </c>
    </row>
    <row r="2" spans="1:31" s="54" customFormat="1" x14ac:dyDescent="0.2">
      <c r="A2" s="54" t="s">
        <v>58</v>
      </c>
      <c r="B2" s="54" t="s">
        <v>55</v>
      </c>
      <c r="C2" s="54" t="s">
        <v>187</v>
      </c>
      <c r="D2" s="54">
        <v>1</v>
      </c>
      <c r="E2" s="54">
        <v>1</v>
      </c>
      <c r="F2" s="54">
        <v>2</v>
      </c>
      <c r="G2" s="54">
        <v>2</v>
      </c>
      <c r="H2" s="54">
        <v>3</v>
      </c>
      <c r="I2" s="54">
        <v>3</v>
      </c>
      <c r="J2" s="54">
        <v>4</v>
      </c>
      <c r="K2" s="54">
        <v>4</v>
      </c>
      <c r="L2" s="54">
        <v>5</v>
      </c>
      <c r="M2" s="54">
        <v>5</v>
      </c>
      <c r="N2" s="54">
        <v>6</v>
      </c>
      <c r="O2" s="54">
        <v>6</v>
      </c>
      <c r="P2" s="54">
        <v>7</v>
      </c>
      <c r="Q2" s="54">
        <v>7</v>
      </c>
      <c r="R2" s="54">
        <v>8</v>
      </c>
      <c r="S2" s="54">
        <v>8</v>
      </c>
      <c r="T2" s="54">
        <v>9</v>
      </c>
      <c r="U2" s="54">
        <v>9</v>
      </c>
      <c r="V2" s="54">
        <v>10</v>
      </c>
      <c r="W2" s="54">
        <v>10</v>
      </c>
      <c r="X2" s="54">
        <v>11</v>
      </c>
      <c r="Y2" s="54">
        <v>11</v>
      </c>
      <c r="Z2" s="54">
        <v>12</v>
      </c>
      <c r="AA2" s="54">
        <v>12</v>
      </c>
    </row>
    <row r="3" spans="1:31" x14ac:dyDescent="0.2">
      <c r="A3" s="1">
        <v>2024</v>
      </c>
      <c r="B3" s="1" t="s">
        <v>38</v>
      </c>
      <c r="C3" s="1" t="s">
        <v>188</v>
      </c>
      <c r="D3" s="1" t="s">
        <v>189</v>
      </c>
      <c r="E3" s="1" t="s">
        <v>189</v>
      </c>
      <c r="F3" s="1" t="s">
        <v>189</v>
      </c>
      <c r="G3" s="1" t="s">
        <v>189</v>
      </c>
      <c r="H3" s="1" t="s">
        <v>189</v>
      </c>
      <c r="I3" s="1" t="s">
        <v>189</v>
      </c>
      <c r="J3" s="1" t="s">
        <v>189</v>
      </c>
      <c r="K3" s="1" t="s">
        <v>189</v>
      </c>
      <c r="L3" s="1" t="s">
        <v>189</v>
      </c>
      <c r="M3" s="1" t="s">
        <v>189</v>
      </c>
      <c r="N3" s="1" t="s">
        <v>189</v>
      </c>
      <c r="O3" s="1" t="s">
        <v>189</v>
      </c>
      <c r="P3" s="1" t="s">
        <v>189</v>
      </c>
      <c r="Q3" s="1" t="s">
        <v>189</v>
      </c>
      <c r="R3" s="1" t="s">
        <v>189</v>
      </c>
      <c r="S3" s="1" t="s">
        <v>189</v>
      </c>
      <c r="T3" s="1" t="s">
        <v>189</v>
      </c>
      <c r="U3" s="1" t="s">
        <v>189</v>
      </c>
      <c r="V3" s="1" t="s">
        <v>189</v>
      </c>
      <c r="W3" s="1" t="s">
        <v>189</v>
      </c>
      <c r="X3" s="1" t="s">
        <v>189</v>
      </c>
      <c r="Y3" s="1" t="s">
        <v>189</v>
      </c>
      <c r="Z3" s="1" t="s">
        <v>189</v>
      </c>
      <c r="AA3" s="1" t="s">
        <v>189</v>
      </c>
      <c r="AB3" s="1">
        <f>COUNTIF(D3:AA3,"yes")</f>
        <v>24</v>
      </c>
      <c r="AC3" s="1">
        <f t="shared" ref="AC3:AC47" si="0">COUNTIF(C3:AA3,"no")</f>
        <v>0</v>
      </c>
      <c r="AD3" s="1">
        <f>AB3/24*100</f>
        <v>100</v>
      </c>
    </row>
    <row r="4" spans="1:31" x14ac:dyDescent="0.2">
      <c r="A4" s="1">
        <v>2024</v>
      </c>
      <c r="B4" s="1" t="s">
        <v>36</v>
      </c>
      <c r="C4" s="1" t="s">
        <v>188</v>
      </c>
      <c r="D4" s="1" t="s">
        <v>189</v>
      </c>
      <c r="E4" s="1" t="s">
        <v>189</v>
      </c>
      <c r="F4" s="35" t="s">
        <v>189</v>
      </c>
      <c r="G4" s="1" t="s">
        <v>189</v>
      </c>
      <c r="H4" s="1" t="s">
        <v>189</v>
      </c>
      <c r="I4" s="1" t="s">
        <v>189</v>
      </c>
      <c r="J4" s="1" t="s">
        <v>189</v>
      </c>
      <c r="K4" s="1" t="s">
        <v>189</v>
      </c>
      <c r="L4" s="1" t="s">
        <v>189</v>
      </c>
      <c r="M4" s="1" t="s">
        <v>189</v>
      </c>
      <c r="N4" s="1" t="s">
        <v>189</v>
      </c>
      <c r="O4" s="1" t="s">
        <v>189</v>
      </c>
      <c r="P4" s="1" t="s">
        <v>189</v>
      </c>
      <c r="Q4" s="1" t="s">
        <v>189</v>
      </c>
      <c r="R4" s="1" t="s">
        <v>189</v>
      </c>
      <c r="S4" s="1" t="s">
        <v>189</v>
      </c>
      <c r="T4" s="1" t="s">
        <v>189</v>
      </c>
      <c r="U4" s="1" t="s">
        <v>189</v>
      </c>
      <c r="V4" s="1" t="s">
        <v>189</v>
      </c>
      <c r="W4" s="1" t="s">
        <v>189</v>
      </c>
      <c r="X4" s="1" t="s">
        <v>189</v>
      </c>
      <c r="Y4" s="1" t="s">
        <v>189</v>
      </c>
      <c r="Z4" s="1" t="s">
        <v>189</v>
      </c>
      <c r="AA4" s="1" t="s">
        <v>189</v>
      </c>
      <c r="AB4" s="1">
        <f t="shared" ref="AB4:AB47" si="1">COUNTIF(C4:AA4,"yes")</f>
        <v>24</v>
      </c>
      <c r="AC4" s="1">
        <f t="shared" si="0"/>
        <v>0</v>
      </c>
      <c r="AD4" s="1">
        <f t="shared" ref="AD4:AD47" si="2">AB4/24*100</f>
        <v>100</v>
      </c>
    </row>
    <row r="5" spans="1:31" x14ac:dyDescent="0.2">
      <c r="A5" s="1">
        <v>2024</v>
      </c>
      <c r="B5" s="1" t="s">
        <v>50</v>
      </c>
      <c r="C5" s="1" t="s">
        <v>188</v>
      </c>
      <c r="AB5" s="1">
        <f t="shared" si="1"/>
        <v>0</v>
      </c>
      <c r="AC5" s="1">
        <f t="shared" si="0"/>
        <v>0</v>
      </c>
    </row>
    <row r="6" spans="1:31" x14ac:dyDescent="0.2">
      <c r="A6" s="1">
        <v>2024</v>
      </c>
      <c r="B6" s="1">
        <v>16</v>
      </c>
      <c r="C6" s="1" t="s">
        <v>188</v>
      </c>
      <c r="AB6" s="1">
        <f t="shared" si="1"/>
        <v>0</v>
      </c>
      <c r="AC6" s="1">
        <f t="shared" si="0"/>
        <v>0</v>
      </c>
    </row>
    <row r="7" spans="1:31" x14ac:dyDescent="0.2">
      <c r="A7" s="1">
        <v>2024</v>
      </c>
      <c r="B7" s="1" t="s">
        <v>34</v>
      </c>
      <c r="C7" s="1" t="s">
        <v>188</v>
      </c>
      <c r="D7" s="1" t="s">
        <v>189</v>
      </c>
      <c r="E7" s="1" t="s">
        <v>189</v>
      </c>
      <c r="F7" s="1" t="s">
        <v>190</v>
      </c>
      <c r="G7" s="1" t="s">
        <v>189</v>
      </c>
      <c r="H7" s="1" t="s">
        <v>190</v>
      </c>
      <c r="I7" s="1" t="s">
        <v>190</v>
      </c>
      <c r="J7" s="1" t="s">
        <v>189</v>
      </c>
      <c r="K7" s="1" t="s">
        <v>190</v>
      </c>
      <c r="L7" s="1" t="s">
        <v>189</v>
      </c>
      <c r="M7" s="1" t="s">
        <v>189</v>
      </c>
      <c r="N7" s="1" t="s">
        <v>189</v>
      </c>
      <c r="O7" s="1" t="s">
        <v>189</v>
      </c>
      <c r="P7" s="1" t="s">
        <v>189</v>
      </c>
      <c r="Q7" s="1" t="s">
        <v>189</v>
      </c>
      <c r="R7" s="1" t="s">
        <v>189</v>
      </c>
      <c r="S7" s="1" t="s">
        <v>189</v>
      </c>
      <c r="T7" s="1" t="s">
        <v>189</v>
      </c>
      <c r="U7" s="1" t="s">
        <v>190</v>
      </c>
      <c r="V7" s="1" t="s">
        <v>189</v>
      </c>
      <c r="W7" s="1" t="s">
        <v>189</v>
      </c>
      <c r="X7" s="1" t="s">
        <v>189</v>
      </c>
      <c r="Y7" s="1" t="s">
        <v>189</v>
      </c>
      <c r="Z7" s="1" t="s">
        <v>189</v>
      </c>
      <c r="AA7" s="1" t="s">
        <v>190</v>
      </c>
      <c r="AB7" s="1">
        <f t="shared" si="1"/>
        <v>18</v>
      </c>
      <c r="AC7" s="1">
        <f t="shared" si="0"/>
        <v>6</v>
      </c>
      <c r="AD7" s="1">
        <f t="shared" si="2"/>
        <v>75</v>
      </c>
    </row>
    <row r="8" spans="1:31" x14ac:dyDescent="0.2">
      <c r="A8" s="1">
        <v>2024</v>
      </c>
      <c r="B8" s="1" t="s">
        <v>30</v>
      </c>
      <c r="C8" s="1" t="s">
        <v>188</v>
      </c>
      <c r="D8" s="1" t="s">
        <v>189</v>
      </c>
      <c r="E8" s="1" t="s">
        <v>189</v>
      </c>
      <c r="F8" s="1" t="s">
        <v>189</v>
      </c>
      <c r="G8" s="1" t="s">
        <v>189</v>
      </c>
      <c r="H8" s="1" t="s">
        <v>189</v>
      </c>
      <c r="I8" s="1" t="s">
        <v>189</v>
      </c>
      <c r="J8" s="1" t="s">
        <v>189</v>
      </c>
      <c r="K8" s="1" t="s">
        <v>189</v>
      </c>
      <c r="L8" s="1" t="s">
        <v>189</v>
      </c>
      <c r="M8" s="1" t="s">
        <v>189</v>
      </c>
      <c r="N8" s="1" t="s">
        <v>189</v>
      </c>
      <c r="O8" s="1" t="s">
        <v>189</v>
      </c>
      <c r="P8" s="1" t="s">
        <v>190</v>
      </c>
      <c r="Q8" s="1" t="s">
        <v>190</v>
      </c>
      <c r="R8" s="1" t="s">
        <v>189</v>
      </c>
      <c r="S8" s="1" t="s">
        <v>189</v>
      </c>
      <c r="T8" s="1" t="s">
        <v>189</v>
      </c>
      <c r="U8" s="1" t="s">
        <v>189</v>
      </c>
      <c r="V8" s="1" t="s">
        <v>189</v>
      </c>
      <c r="W8" s="1" t="s">
        <v>189</v>
      </c>
      <c r="X8" s="1" t="s">
        <v>190</v>
      </c>
      <c r="Y8" s="1" t="s">
        <v>190</v>
      </c>
      <c r="Z8" s="1" t="s">
        <v>190</v>
      </c>
      <c r="AA8" s="1" t="s">
        <v>190</v>
      </c>
      <c r="AB8" s="1">
        <f t="shared" si="1"/>
        <v>18</v>
      </c>
      <c r="AC8" s="1">
        <f t="shared" si="0"/>
        <v>6</v>
      </c>
      <c r="AD8" s="1">
        <f t="shared" si="2"/>
        <v>75</v>
      </c>
    </row>
    <row r="9" spans="1:31" x14ac:dyDescent="0.2">
      <c r="A9" s="1">
        <v>2024</v>
      </c>
      <c r="B9" s="1" t="s">
        <v>29</v>
      </c>
      <c r="C9" s="1" t="s">
        <v>188</v>
      </c>
      <c r="D9" s="1" t="s">
        <v>189</v>
      </c>
      <c r="E9" s="1" t="s">
        <v>189</v>
      </c>
      <c r="F9" s="1" t="s">
        <v>189</v>
      </c>
      <c r="G9" s="1" t="s">
        <v>189</v>
      </c>
      <c r="H9" s="1" t="s">
        <v>189</v>
      </c>
      <c r="I9" s="1" t="s">
        <v>190</v>
      </c>
      <c r="J9" s="1" t="s">
        <v>189</v>
      </c>
      <c r="K9" s="1" t="s">
        <v>189</v>
      </c>
      <c r="L9" s="1" t="s">
        <v>189</v>
      </c>
      <c r="M9" s="1" t="s">
        <v>189</v>
      </c>
      <c r="N9" s="1" t="s">
        <v>189</v>
      </c>
      <c r="O9" s="1" t="s">
        <v>189</v>
      </c>
      <c r="P9" s="1" t="s">
        <v>190</v>
      </c>
      <c r="Q9" s="1" t="s">
        <v>189</v>
      </c>
      <c r="R9" s="1" t="s">
        <v>189</v>
      </c>
      <c r="S9" s="1" t="s">
        <v>189</v>
      </c>
      <c r="T9" s="1" t="s">
        <v>189</v>
      </c>
      <c r="U9" s="1" t="s">
        <v>189</v>
      </c>
      <c r="V9" s="1" t="s">
        <v>189</v>
      </c>
      <c r="W9" s="1" t="s">
        <v>189</v>
      </c>
      <c r="X9" s="1" t="s">
        <v>189</v>
      </c>
      <c r="Y9" s="1" t="s">
        <v>189</v>
      </c>
      <c r="Z9" s="1" t="s">
        <v>189</v>
      </c>
      <c r="AA9" s="1" t="s">
        <v>189</v>
      </c>
      <c r="AB9" s="1">
        <f t="shared" si="1"/>
        <v>22</v>
      </c>
      <c r="AC9" s="1">
        <f t="shared" si="0"/>
        <v>2</v>
      </c>
      <c r="AD9" s="1">
        <f t="shared" si="2"/>
        <v>91.666666666666657</v>
      </c>
    </row>
    <row r="10" spans="1:31" x14ac:dyDescent="0.2">
      <c r="A10" s="1">
        <v>2024</v>
      </c>
      <c r="B10" s="1" t="s">
        <v>28</v>
      </c>
      <c r="C10" s="1" t="s">
        <v>188</v>
      </c>
      <c r="D10" s="1" t="s">
        <v>189</v>
      </c>
      <c r="E10" s="1" t="s">
        <v>189</v>
      </c>
      <c r="F10" s="1" t="s">
        <v>189</v>
      </c>
      <c r="G10" s="1" t="s">
        <v>189</v>
      </c>
      <c r="H10" s="1" t="s">
        <v>189</v>
      </c>
      <c r="I10" s="1" t="s">
        <v>189</v>
      </c>
      <c r="J10" s="1" t="s">
        <v>189</v>
      </c>
      <c r="K10" s="1" t="s">
        <v>189</v>
      </c>
      <c r="L10" s="1" t="s">
        <v>189</v>
      </c>
      <c r="M10" s="1" t="s">
        <v>189</v>
      </c>
      <c r="N10" s="1" t="s">
        <v>189</v>
      </c>
      <c r="O10" s="1" t="s">
        <v>189</v>
      </c>
      <c r="P10" s="1" t="s">
        <v>189</v>
      </c>
      <c r="Q10" s="1" t="s">
        <v>189</v>
      </c>
      <c r="R10" s="1" t="s">
        <v>190</v>
      </c>
      <c r="S10" s="1" t="s">
        <v>189</v>
      </c>
      <c r="T10" s="1" t="s">
        <v>189</v>
      </c>
      <c r="U10" s="1" t="s">
        <v>189</v>
      </c>
      <c r="V10" s="1" t="s">
        <v>189</v>
      </c>
      <c r="W10" s="1" t="s">
        <v>189</v>
      </c>
      <c r="X10" s="1" t="s">
        <v>189</v>
      </c>
      <c r="Y10" s="1" t="s">
        <v>189</v>
      </c>
      <c r="Z10" s="1" t="s">
        <v>189</v>
      </c>
      <c r="AA10" s="1" t="s">
        <v>189</v>
      </c>
      <c r="AB10" s="1">
        <f t="shared" si="1"/>
        <v>23</v>
      </c>
      <c r="AC10" s="1">
        <f t="shared" si="0"/>
        <v>1</v>
      </c>
      <c r="AD10" s="1">
        <f t="shared" si="2"/>
        <v>95.833333333333343</v>
      </c>
    </row>
    <row r="11" spans="1:31" x14ac:dyDescent="0.2">
      <c r="A11" s="1">
        <v>2024</v>
      </c>
      <c r="B11" s="1" t="s">
        <v>26</v>
      </c>
      <c r="C11" s="1" t="s">
        <v>188</v>
      </c>
      <c r="D11" s="1" t="s">
        <v>189</v>
      </c>
      <c r="E11" s="1" t="s">
        <v>189</v>
      </c>
      <c r="F11" s="1" t="s">
        <v>189</v>
      </c>
      <c r="G11" s="1" t="s">
        <v>189</v>
      </c>
      <c r="H11" s="1" t="s">
        <v>189</v>
      </c>
      <c r="I11" s="1" t="s">
        <v>190</v>
      </c>
      <c r="J11" s="1" t="s">
        <v>189</v>
      </c>
      <c r="K11" s="1" t="s">
        <v>189</v>
      </c>
      <c r="L11" s="1" t="s">
        <v>190</v>
      </c>
      <c r="M11" s="1" t="s">
        <v>189</v>
      </c>
      <c r="N11" s="1" t="s">
        <v>189</v>
      </c>
      <c r="O11" s="1" t="s">
        <v>190</v>
      </c>
      <c r="P11" s="1" t="s">
        <v>189</v>
      </c>
      <c r="Q11" s="1" t="s">
        <v>189</v>
      </c>
      <c r="R11" s="1" t="s">
        <v>189</v>
      </c>
      <c r="S11" s="1" t="s">
        <v>190</v>
      </c>
      <c r="T11" s="1" t="s">
        <v>189</v>
      </c>
      <c r="U11" s="1" t="s">
        <v>189</v>
      </c>
      <c r="V11" s="1" t="s">
        <v>189</v>
      </c>
      <c r="W11" s="1" t="s">
        <v>189</v>
      </c>
      <c r="X11" s="1" t="s">
        <v>189</v>
      </c>
      <c r="Y11" s="1" t="s">
        <v>190</v>
      </c>
      <c r="Z11" s="1" t="s">
        <v>189</v>
      </c>
      <c r="AA11" s="1" t="s">
        <v>189</v>
      </c>
      <c r="AB11" s="1">
        <f t="shared" si="1"/>
        <v>19</v>
      </c>
      <c r="AC11" s="1">
        <f t="shared" si="0"/>
        <v>5</v>
      </c>
      <c r="AD11" s="1">
        <f t="shared" si="2"/>
        <v>79.166666666666657</v>
      </c>
    </row>
    <row r="12" spans="1:31" x14ac:dyDescent="0.2">
      <c r="A12" s="1">
        <v>2024</v>
      </c>
      <c r="B12" s="1" t="s">
        <v>49</v>
      </c>
      <c r="C12" s="1" t="s">
        <v>188</v>
      </c>
      <c r="AB12" s="1">
        <f t="shared" si="1"/>
        <v>0</v>
      </c>
      <c r="AC12" s="1">
        <f t="shared" si="0"/>
        <v>0</v>
      </c>
    </row>
    <row r="13" spans="1:31" x14ac:dyDescent="0.2">
      <c r="A13" s="1">
        <v>2024</v>
      </c>
      <c r="B13" s="1" t="s">
        <v>48</v>
      </c>
      <c r="C13" s="1" t="s">
        <v>188</v>
      </c>
      <c r="AB13" s="1">
        <f t="shared" si="1"/>
        <v>0</v>
      </c>
      <c r="AC13" s="1">
        <f t="shared" si="0"/>
        <v>0</v>
      </c>
    </row>
    <row r="14" spans="1:31" x14ac:dyDescent="0.2">
      <c r="A14" s="1">
        <v>2024</v>
      </c>
      <c r="B14" s="1" t="s">
        <v>21</v>
      </c>
      <c r="C14" s="1" t="s">
        <v>188</v>
      </c>
      <c r="D14" s="1" t="s">
        <v>189</v>
      </c>
      <c r="E14" s="1" t="s">
        <v>189</v>
      </c>
      <c r="F14" s="1" t="s">
        <v>189</v>
      </c>
      <c r="G14" s="24" t="s">
        <v>189</v>
      </c>
      <c r="H14" s="24" t="s">
        <v>189</v>
      </c>
      <c r="I14" s="24" t="s">
        <v>189</v>
      </c>
      <c r="J14" s="24" t="s">
        <v>190</v>
      </c>
      <c r="K14" s="24" t="s">
        <v>191</v>
      </c>
      <c r="L14" s="24" t="s">
        <v>191</v>
      </c>
      <c r="M14" s="24" t="s">
        <v>192</v>
      </c>
      <c r="N14" s="24" t="s">
        <v>191</v>
      </c>
      <c r="O14" s="24" t="s">
        <v>191</v>
      </c>
      <c r="P14" s="24" t="s">
        <v>189</v>
      </c>
      <c r="Q14" s="24" t="s">
        <v>189</v>
      </c>
      <c r="R14" s="24" t="s">
        <v>189</v>
      </c>
      <c r="S14" s="24" t="s">
        <v>190</v>
      </c>
      <c r="T14" s="1" t="s">
        <v>190</v>
      </c>
      <c r="U14" s="1" t="s">
        <v>190</v>
      </c>
      <c r="V14" s="1" t="s">
        <v>190</v>
      </c>
      <c r="W14" s="1" t="s">
        <v>190</v>
      </c>
      <c r="X14" s="1" t="s">
        <v>190</v>
      </c>
      <c r="Y14" s="1" t="s">
        <v>190</v>
      </c>
      <c r="Z14" s="1" t="s">
        <v>190</v>
      </c>
      <c r="AA14" s="1" t="s">
        <v>190</v>
      </c>
      <c r="AB14" s="24">
        <f t="shared" si="1"/>
        <v>9</v>
      </c>
      <c r="AC14" s="24">
        <f t="shared" si="0"/>
        <v>10</v>
      </c>
      <c r="AD14" s="24">
        <f t="shared" si="2"/>
        <v>37.5</v>
      </c>
      <c r="AE14" s="1" t="s">
        <v>193</v>
      </c>
    </row>
    <row r="15" spans="1:31" x14ac:dyDescent="0.2">
      <c r="A15" s="1">
        <v>2024</v>
      </c>
      <c r="B15" s="1" t="s">
        <v>19</v>
      </c>
      <c r="C15" s="1" t="s">
        <v>188</v>
      </c>
      <c r="D15" s="1" t="s">
        <v>189</v>
      </c>
      <c r="E15" s="1" t="s">
        <v>189</v>
      </c>
      <c r="F15" s="1" t="s">
        <v>189</v>
      </c>
      <c r="G15" s="1" t="s">
        <v>189</v>
      </c>
      <c r="H15" s="1" t="s">
        <v>190</v>
      </c>
      <c r="I15" s="1" t="s">
        <v>190</v>
      </c>
      <c r="J15" s="1" t="s">
        <v>189</v>
      </c>
      <c r="K15" s="1" t="s">
        <v>189</v>
      </c>
      <c r="L15" s="1" t="s">
        <v>189</v>
      </c>
      <c r="M15" s="1" t="s">
        <v>189</v>
      </c>
      <c r="N15" s="1" t="s">
        <v>189</v>
      </c>
      <c r="O15" s="1" t="s">
        <v>190</v>
      </c>
      <c r="P15" s="1" t="s">
        <v>189</v>
      </c>
      <c r="Q15" s="1" t="s">
        <v>189</v>
      </c>
      <c r="R15" s="1" t="s">
        <v>189</v>
      </c>
      <c r="S15" s="1" t="s">
        <v>189</v>
      </c>
      <c r="T15" s="1" t="s">
        <v>189</v>
      </c>
      <c r="U15" s="1" t="s">
        <v>189</v>
      </c>
      <c r="V15" s="1" t="s">
        <v>189</v>
      </c>
      <c r="W15" s="1" t="s">
        <v>189</v>
      </c>
      <c r="X15" s="1" t="s">
        <v>189</v>
      </c>
      <c r="Y15" s="1" t="s">
        <v>189</v>
      </c>
      <c r="Z15" s="1" t="s">
        <v>189</v>
      </c>
      <c r="AA15" s="1" t="s">
        <v>189</v>
      </c>
      <c r="AB15" s="1">
        <f t="shared" si="1"/>
        <v>21</v>
      </c>
      <c r="AC15" s="1">
        <f t="shared" si="0"/>
        <v>3</v>
      </c>
      <c r="AD15" s="1">
        <f t="shared" si="2"/>
        <v>87.5</v>
      </c>
    </row>
    <row r="16" spans="1:31" x14ac:dyDescent="0.2">
      <c r="A16" s="1">
        <v>2024</v>
      </c>
      <c r="B16" s="1" t="s">
        <v>17</v>
      </c>
      <c r="C16" s="1" t="s">
        <v>188</v>
      </c>
      <c r="D16" s="1" t="s">
        <v>190</v>
      </c>
      <c r="E16" s="1" t="s">
        <v>189</v>
      </c>
      <c r="F16" s="1" t="s">
        <v>189</v>
      </c>
      <c r="G16" s="1" t="s">
        <v>189</v>
      </c>
      <c r="H16" s="1" t="s">
        <v>189</v>
      </c>
      <c r="I16" s="1" t="s">
        <v>189</v>
      </c>
      <c r="J16" s="1" t="s">
        <v>189</v>
      </c>
      <c r="K16" s="1" t="s">
        <v>189</v>
      </c>
      <c r="L16" s="1" t="s">
        <v>189</v>
      </c>
      <c r="M16" s="1" t="s">
        <v>190</v>
      </c>
      <c r="N16" s="1" t="s">
        <v>189</v>
      </c>
      <c r="O16" s="1" t="s">
        <v>189</v>
      </c>
      <c r="P16" s="1" t="s">
        <v>190</v>
      </c>
      <c r="Q16" s="1" t="s">
        <v>190</v>
      </c>
      <c r="R16" s="1" t="s">
        <v>189</v>
      </c>
      <c r="S16" s="1" t="s">
        <v>189</v>
      </c>
      <c r="T16" s="1" t="s">
        <v>189</v>
      </c>
      <c r="U16" s="1" t="s">
        <v>190</v>
      </c>
      <c r="V16" s="1" t="s">
        <v>189</v>
      </c>
      <c r="W16" s="1" t="s">
        <v>189</v>
      </c>
      <c r="X16" s="1" t="s">
        <v>190</v>
      </c>
      <c r="Y16" s="1" t="s">
        <v>189</v>
      </c>
      <c r="Z16" s="1" t="s">
        <v>189</v>
      </c>
      <c r="AA16" s="1" t="s">
        <v>189</v>
      </c>
      <c r="AB16" s="1">
        <f t="shared" si="1"/>
        <v>18</v>
      </c>
      <c r="AC16" s="1">
        <f t="shared" si="0"/>
        <v>6</v>
      </c>
      <c r="AD16" s="1">
        <f t="shared" si="2"/>
        <v>75</v>
      </c>
    </row>
    <row r="17" spans="1:31" x14ac:dyDescent="0.2">
      <c r="A17" s="1">
        <v>2024</v>
      </c>
      <c r="B17" s="1" t="s">
        <v>18</v>
      </c>
      <c r="C17" s="1" t="s">
        <v>188</v>
      </c>
      <c r="D17" s="1" t="s">
        <v>190</v>
      </c>
      <c r="E17" s="1" t="s">
        <v>189</v>
      </c>
      <c r="F17" s="1" t="s">
        <v>189</v>
      </c>
      <c r="G17" s="1" t="s">
        <v>189</v>
      </c>
      <c r="H17" s="1" t="s">
        <v>190</v>
      </c>
      <c r="I17" s="1" t="s">
        <v>189</v>
      </c>
      <c r="J17" s="1" t="s">
        <v>189</v>
      </c>
      <c r="K17" s="1" t="s">
        <v>189</v>
      </c>
      <c r="L17" s="1" t="s">
        <v>189</v>
      </c>
      <c r="M17" s="1" t="s">
        <v>190</v>
      </c>
      <c r="N17" s="1" t="s">
        <v>189</v>
      </c>
      <c r="O17" s="1" t="s">
        <v>190</v>
      </c>
      <c r="P17" s="1" t="s">
        <v>189</v>
      </c>
      <c r="Q17" s="1" t="s">
        <v>190</v>
      </c>
      <c r="R17" s="1" t="s">
        <v>189</v>
      </c>
      <c r="S17" s="1" t="s">
        <v>190</v>
      </c>
      <c r="T17" s="1" t="s">
        <v>189</v>
      </c>
      <c r="U17" s="1" t="s">
        <v>190</v>
      </c>
      <c r="V17" s="1" t="s">
        <v>189</v>
      </c>
      <c r="W17" s="1" t="s">
        <v>190</v>
      </c>
      <c r="X17" s="1" t="s">
        <v>190</v>
      </c>
      <c r="Y17" s="1" t="s">
        <v>189</v>
      </c>
      <c r="Z17" s="1" t="s">
        <v>190</v>
      </c>
      <c r="AA17" s="1" t="s">
        <v>190</v>
      </c>
      <c r="AB17" s="1">
        <f t="shared" si="1"/>
        <v>13</v>
      </c>
      <c r="AC17" s="1">
        <f t="shared" si="0"/>
        <v>11</v>
      </c>
      <c r="AD17" s="1">
        <f t="shared" si="2"/>
        <v>54.166666666666664</v>
      </c>
    </row>
    <row r="18" spans="1:31" x14ac:dyDescent="0.2">
      <c r="A18" s="1">
        <v>2024</v>
      </c>
      <c r="B18" s="1" t="s">
        <v>46</v>
      </c>
      <c r="C18" s="1" t="s">
        <v>188</v>
      </c>
      <c r="AB18" s="1">
        <f t="shared" si="1"/>
        <v>0</v>
      </c>
      <c r="AC18" s="1">
        <f t="shared" si="0"/>
        <v>0</v>
      </c>
    </row>
    <row r="19" spans="1:31" x14ac:dyDescent="0.2">
      <c r="A19" s="1">
        <v>2024</v>
      </c>
      <c r="B19" s="1" t="s">
        <v>45</v>
      </c>
      <c r="C19" s="1" t="s">
        <v>188</v>
      </c>
      <c r="AB19" s="1">
        <f t="shared" si="1"/>
        <v>0</v>
      </c>
      <c r="AC19" s="1">
        <f t="shared" si="0"/>
        <v>0</v>
      </c>
    </row>
    <row r="20" spans="1:31" x14ac:dyDescent="0.2">
      <c r="A20" s="1">
        <v>2024</v>
      </c>
      <c r="B20" s="35" t="s">
        <v>13</v>
      </c>
      <c r="C20" s="1" t="s">
        <v>188</v>
      </c>
      <c r="D20" s="1" t="s">
        <v>189</v>
      </c>
      <c r="E20" s="1" t="s">
        <v>190</v>
      </c>
      <c r="F20" s="1" t="s">
        <v>189</v>
      </c>
      <c r="G20" s="1" t="s">
        <v>189</v>
      </c>
      <c r="H20" s="1" t="s">
        <v>189</v>
      </c>
      <c r="I20" s="1" t="s">
        <v>189</v>
      </c>
      <c r="J20" s="1" t="s">
        <v>189</v>
      </c>
      <c r="K20" s="1" t="s">
        <v>189</v>
      </c>
      <c r="L20" s="1" t="s">
        <v>189</v>
      </c>
      <c r="M20" s="1" t="s">
        <v>189</v>
      </c>
      <c r="N20" s="1" t="s">
        <v>189</v>
      </c>
      <c r="O20" s="1" t="s">
        <v>189</v>
      </c>
      <c r="P20" s="47" t="s">
        <v>194</v>
      </c>
      <c r="Q20" s="47" t="s">
        <v>194</v>
      </c>
      <c r="R20" s="47" t="s">
        <v>194</v>
      </c>
      <c r="S20" s="47" t="s">
        <v>194</v>
      </c>
      <c r="T20" s="47" t="s">
        <v>194</v>
      </c>
      <c r="U20" s="47" t="s">
        <v>194</v>
      </c>
      <c r="V20" s="1" t="s">
        <v>190</v>
      </c>
      <c r="W20" s="1" t="s">
        <v>190</v>
      </c>
      <c r="X20" s="1" t="s">
        <v>190</v>
      </c>
      <c r="Y20" s="1" t="s">
        <v>190</v>
      </c>
      <c r="Z20" s="1" t="s">
        <v>190</v>
      </c>
      <c r="AA20" s="1" t="s">
        <v>190</v>
      </c>
      <c r="AB20" s="47">
        <f t="shared" si="1"/>
        <v>11</v>
      </c>
      <c r="AC20" s="47">
        <f t="shared" si="0"/>
        <v>7</v>
      </c>
      <c r="AD20" s="47">
        <f t="shared" si="2"/>
        <v>45.833333333333329</v>
      </c>
      <c r="AE20" s="1" t="s">
        <v>195</v>
      </c>
    </row>
    <row r="21" spans="1:31" x14ac:dyDescent="0.2">
      <c r="A21" s="1">
        <v>2024</v>
      </c>
      <c r="B21" s="1" t="s">
        <v>10</v>
      </c>
      <c r="C21" s="1" t="s">
        <v>188</v>
      </c>
      <c r="D21" s="1" t="s">
        <v>189</v>
      </c>
      <c r="E21" s="1" t="s">
        <v>189</v>
      </c>
      <c r="F21" s="1" t="s">
        <v>189</v>
      </c>
      <c r="G21" s="1" t="s">
        <v>189</v>
      </c>
      <c r="H21" s="1" t="s">
        <v>189</v>
      </c>
      <c r="I21" s="1" t="s">
        <v>189</v>
      </c>
      <c r="J21" s="1" t="s">
        <v>189</v>
      </c>
      <c r="K21" s="1" t="s">
        <v>189</v>
      </c>
      <c r="L21" s="1" t="s">
        <v>189</v>
      </c>
      <c r="M21" s="1" t="s">
        <v>189</v>
      </c>
      <c r="N21" s="1" t="s">
        <v>189</v>
      </c>
      <c r="O21" s="1" t="s">
        <v>189</v>
      </c>
      <c r="P21" s="1" t="s">
        <v>189</v>
      </c>
      <c r="Q21" s="1" t="s">
        <v>189</v>
      </c>
      <c r="R21" s="1" t="s">
        <v>189</v>
      </c>
      <c r="S21" s="1" t="s">
        <v>189</v>
      </c>
      <c r="T21" s="1" t="s">
        <v>189</v>
      </c>
      <c r="U21" s="1" t="s">
        <v>189</v>
      </c>
      <c r="V21" s="1" t="s">
        <v>189</v>
      </c>
      <c r="W21" s="1" t="s">
        <v>189</v>
      </c>
      <c r="X21" s="1" t="s">
        <v>189</v>
      </c>
      <c r="Y21" s="1" t="s">
        <v>189</v>
      </c>
      <c r="Z21" s="1" t="s">
        <v>189</v>
      </c>
      <c r="AA21" s="1" t="s">
        <v>189</v>
      </c>
      <c r="AB21" s="1">
        <f t="shared" si="1"/>
        <v>24</v>
      </c>
      <c r="AC21" s="1">
        <f t="shared" si="0"/>
        <v>0</v>
      </c>
      <c r="AD21" s="1">
        <f t="shared" si="2"/>
        <v>100</v>
      </c>
    </row>
    <row r="22" spans="1:31" x14ac:dyDescent="0.2">
      <c r="A22" s="1">
        <v>2024</v>
      </c>
      <c r="B22" s="1" t="s">
        <v>8</v>
      </c>
      <c r="C22" s="1" t="s">
        <v>188</v>
      </c>
      <c r="D22" s="1" t="s">
        <v>189</v>
      </c>
      <c r="E22" s="1" t="s">
        <v>189</v>
      </c>
      <c r="F22" s="1" t="s">
        <v>189</v>
      </c>
      <c r="G22" s="1" t="s">
        <v>189</v>
      </c>
      <c r="H22" s="1" t="s">
        <v>189</v>
      </c>
      <c r="I22" s="1" t="s">
        <v>189</v>
      </c>
      <c r="J22" s="1" t="s">
        <v>190</v>
      </c>
      <c r="K22" s="1" t="s">
        <v>189</v>
      </c>
      <c r="L22" s="1" t="s">
        <v>189</v>
      </c>
      <c r="M22" s="1" t="s">
        <v>189</v>
      </c>
      <c r="N22" s="1" t="s">
        <v>189</v>
      </c>
      <c r="O22" s="1" t="s">
        <v>189</v>
      </c>
      <c r="P22" s="1" t="s">
        <v>189</v>
      </c>
      <c r="Q22" s="1" t="s">
        <v>189</v>
      </c>
      <c r="R22" s="1" t="s">
        <v>189</v>
      </c>
      <c r="S22" s="1" t="s">
        <v>190</v>
      </c>
      <c r="T22" s="1" t="s">
        <v>190</v>
      </c>
      <c r="U22" s="1" t="s">
        <v>190</v>
      </c>
      <c r="V22" s="1" t="s">
        <v>190</v>
      </c>
      <c r="W22" s="1" t="s">
        <v>189</v>
      </c>
      <c r="X22" s="1" t="s">
        <v>190</v>
      </c>
      <c r="Y22" s="1" t="s">
        <v>190</v>
      </c>
      <c r="Z22" s="1" t="s">
        <v>190</v>
      </c>
      <c r="AA22" s="1" t="s">
        <v>190</v>
      </c>
      <c r="AB22" s="1">
        <f t="shared" si="1"/>
        <v>15</v>
      </c>
      <c r="AC22" s="1">
        <f t="shared" si="0"/>
        <v>9</v>
      </c>
      <c r="AD22" s="1">
        <f t="shared" si="2"/>
        <v>62.5</v>
      </c>
    </row>
    <row r="23" spans="1:31" x14ac:dyDescent="0.2">
      <c r="A23" s="1">
        <v>2024</v>
      </c>
      <c r="B23" s="1" t="s">
        <v>7</v>
      </c>
      <c r="C23" s="1" t="s">
        <v>188</v>
      </c>
      <c r="D23" s="1" t="s">
        <v>189</v>
      </c>
      <c r="E23" s="1" t="s">
        <v>189</v>
      </c>
      <c r="F23" s="1" t="s">
        <v>189</v>
      </c>
      <c r="G23" s="1" t="s">
        <v>189</v>
      </c>
      <c r="H23" s="1" t="s">
        <v>189</v>
      </c>
      <c r="I23" s="1" t="s">
        <v>189</v>
      </c>
      <c r="J23" s="1" t="s">
        <v>189</v>
      </c>
      <c r="K23" s="1" t="s">
        <v>189</v>
      </c>
      <c r="L23" s="1" t="s">
        <v>189</v>
      </c>
      <c r="M23" s="1" t="s">
        <v>189</v>
      </c>
      <c r="N23" s="1" t="s">
        <v>189</v>
      </c>
      <c r="O23" s="1" t="s">
        <v>189</v>
      </c>
      <c r="P23" s="1" t="s">
        <v>189</v>
      </c>
      <c r="Q23" s="1" t="s">
        <v>189</v>
      </c>
      <c r="R23" s="1" t="s">
        <v>189</v>
      </c>
      <c r="S23" s="1" t="s">
        <v>189</v>
      </c>
      <c r="T23" s="1" t="s">
        <v>189</v>
      </c>
      <c r="U23" s="1" t="s">
        <v>189</v>
      </c>
      <c r="V23" s="1" t="s">
        <v>189</v>
      </c>
      <c r="W23" s="1" t="s">
        <v>189</v>
      </c>
      <c r="X23" s="1" t="s">
        <v>189</v>
      </c>
      <c r="Y23" s="1" t="s">
        <v>189</v>
      </c>
      <c r="Z23" s="1" t="s">
        <v>189</v>
      </c>
      <c r="AA23" s="1" t="s">
        <v>189</v>
      </c>
      <c r="AB23" s="1">
        <f t="shared" si="1"/>
        <v>24</v>
      </c>
      <c r="AC23" s="1">
        <f t="shared" si="0"/>
        <v>0</v>
      </c>
      <c r="AD23" s="1">
        <f t="shared" si="2"/>
        <v>100</v>
      </c>
    </row>
    <row r="24" spans="1:31" x14ac:dyDescent="0.2">
      <c r="A24" s="1">
        <v>2024</v>
      </c>
      <c r="B24" s="1" t="s">
        <v>40</v>
      </c>
      <c r="C24" s="1" t="s">
        <v>188</v>
      </c>
      <c r="AB24" s="1">
        <f t="shared" si="1"/>
        <v>0</v>
      </c>
      <c r="AC24" s="1">
        <f t="shared" si="0"/>
        <v>0</v>
      </c>
    </row>
    <row r="25" spans="1:31" x14ac:dyDescent="0.2">
      <c r="A25" s="1">
        <v>2024</v>
      </c>
      <c r="B25" s="1" t="s">
        <v>5</v>
      </c>
      <c r="C25" s="1" t="s">
        <v>188</v>
      </c>
      <c r="D25" s="1" t="s">
        <v>189</v>
      </c>
      <c r="E25" s="1" t="s">
        <v>189</v>
      </c>
      <c r="F25" s="1" t="s">
        <v>189</v>
      </c>
      <c r="G25" s="1" t="s">
        <v>189</v>
      </c>
      <c r="H25" s="1" t="s">
        <v>189</v>
      </c>
      <c r="I25" s="1" t="s">
        <v>189</v>
      </c>
      <c r="J25" s="1" t="s">
        <v>189</v>
      </c>
      <c r="K25" s="1" t="s">
        <v>189</v>
      </c>
      <c r="L25" s="1" t="s">
        <v>189</v>
      </c>
      <c r="M25" s="1" t="s">
        <v>189</v>
      </c>
      <c r="N25" s="1" t="s">
        <v>189</v>
      </c>
      <c r="O25" s="1" t="s">
        <v>190</v>
      </c>
      <c r="P25" s="1" t="s">
        <v>189</v>
      </c>
      <c r="Q25" s="1" t="s">
        <v>189</v>
      </c>
      <c r="R25" s="1" t="s">
        <v>189</v>
      </c>
      <c r="S25" s="1" t="s">
        <v>189</v>
      </c>
      <c r="T25" s="1" t="s">
        <v>189</v>
      </c>
      <c r="U25" s="1" t="s">
        <v>190</v>
      </c>
      <c r="V25" s="1" t="s">
        <v>189</v>
      </c>
      <c r="W25" s="1" t="s">
        <v>189</v>
      </c>
      <c r="X25" s="1" t="s">
        <v>189</v>
      </c>
      <c r="Y25" s="1" t="s">
        <v>189</v>
      </c>
      <c r="Z25" s="1" t="s">
        <v>189</v>
      </c>
      <c r="AA25" s="1" t="s">
        <v>190</v>
      </c>
      <c r="AB25" s="1">
        <f t="shared" si="1"/>
        <v>21</v>
      </c>
      <c r="AC25" s="1">
        <f t="shared" si="0"/>
        <v>3</v>
      </c>
      <c r="AD25" s="1">
        <f t="shared" si="2"/>
        <v>87.5</v>
      </c>
    </row>
    <row r="26" spans="1:31" x14ac:dyDescent="0.2">
      <c r="A26" s="1">
        <v>2024</v>
      </c>
      <c r="B26" s="1" t="s">
        <v>4</v>
      </c>
      <c r="C26" s="1" t="s">
        <v>188</v>
      </c>
      <c r="D26" s="1" t="s">
        <v>189</v>
      </c>
      <c r="E26" s="1" t="s">
        <v>189</v>
      </c>
      <c r="F26" s="1" t="s">
        <v>189</v>
      </c>
      <c r="G26" s="1" t="s">
        <v>189</v>
      </c>
      <c r="H26" s="1" t="s">
        <v>189</v>
      </c>
      <c r="I26" s="1" t="s">
        <v>189</v>
      </c>
      <c r="J26" s="1" t="s">
        <v>189</v>
      </c>
      <c r="K26" s="1" t="s">
        <v>189</v>
      </c>
      <c r="L26" s="1" t="s">
        <v>190</v>
      </c>
      <c r="M26" s="1" t="s">
        <v>189</v>
      </c>
      <c r="N26" s="1" t="s">
        <v>189</v>
      </c>
      <c r="O26" s="1" t="s">
        <v>189</v>
      </c>
      <c r="P26" s="1" t="s">
        <v>189</v>
      </c>
      <c r="Q26" s="1" t="s">
        <v>189</v>
      </c>
      <c r="R26" s="1" t="s">
        <v>189</v>
      </c>
      <c r="S26" s="1" t="s">
        <v>189</v>
      </c>
      <c r="T26" s="1" t="s">
        <v>190</v>
      </c>
      <c r="U26" s="1" t="s">
        <v>189</v>
      </c>
      <c r="V26" s="1" t="s">
        <v>190</v>
      </c>
      <c r="W26" s="1" t="s">
        <v>190</v>
      </c>
      <c r="X26" s="1" t="s">
        <v>189</v>
      </c>
      <c r="Y26" s="1" t="s">
        <v>190</v>
      </c>
      <c r="Z26" s="1" t="s">
        <v>189</v>
      </c>
      <c r="AA26" s="1" t="s">
        <v>189</v>
      </c>
      <c r="AB26" s="1">
        <f t="shared" si="1"/>
        <v>19</v>
      </c>
      <c r="AC26" s="1">
        <f t="shared" si="0"/>
        <v>5</v>
      </c>
      <c r="AD26" s="1">
        <f t="shared" si="2"/>
        <v>79.166666666666657</v>
      </c>
    </row>
    <row r="27" spans="1:31" x14ac:dyDescent="0.2">
      <c r="A27" s="1">
        <v>2024</v>
      </c>
      <c r="B27" s="1" t="s">
        <v>51</v>
      </c>
      <c r="C27" s="1" t="s">
        <v>196</v>
      </c>
      <c r="D27" s="1" t="s">
        <v>189</v>
      </c>
      <c r="E27" s="1" t="s">
        <v>189</v>
      </c>
      <c r="F27" s="1" t="s">
        <v>189</v>
      </c>
      <c r="G27" s="1" t="s">
        <v>189</v>
      </c>
      <c r="H27" s="1" t="s">
        <v>189</v>
      </c>
      <c r="I27" s="1" t="s">
        <v>189</v>
      </c>
      <c r="J27" s="1" t="s">
        <v>190</v>
      </c>
      <c r="K27" s="1" t="s">
        <v>190</v>
      </c>
      <c r="L27" s="1" t="s">
        <v>190</v>
      </c>
      <c r="M27" s="1" t="s">
        <v>190</v>
      </c>
      <c r="N27" s="1" t="s">
        <v>190</v>
      </c>
      <c r="O27" s="1" t="s">
        <v>190</v>
      </c>
      <c r="P27" s="1" t="s">
        <v>190</v>
      </c>
      <c r="Q27" s="1" t="s">
        <v>190</v>
      </c>
      <c r="R27" s="1" t="s">
        <v>190</v>
      </c>
      <c r="S27" s="1" t="s">
        <v>190</v>
      </c>
      <c r="T27" s="1" t="s">
        <v>190</v>
      </c>
      <c r="U27" s="1" t="s">
        <v>190</v>
      </c>
      <c r="V27" s="1" t="s">
        <v>190</v>
      </c>
      <c r="W27" s="1" t="s">
        <v>190</v>
      </c>
      <c r="X27" s="1" t="s">
        <v>190</v>
      </c>
      <c r="Y27" s="1" t="s">
        <v>190</v>
      </c>
      <c r="Z27" s="1" t="s">
        <v>190</v>
      </c>
      <c r="AA27" s="1" t="s">
        <v>190</v>
      </c>
      <c r="AB27" s="1">
        <f t="shared" si="1"/>
        <v>6</v>
      </c>
      <c r="AC27" s="1">
        <f t="shared" si="0"/>
        <v>18</v>
      </c>
      <c r="AD27" s="1">
        <f t="shared" si="2"/>
        <v>25</v>
      </c>
    </row>
    <row r="28" spans="1:31" x14ac:dyDescent="0.2">
      <c r="A28" s="1">
        <v>2024</v>
      </c>
      <c r="B28" s="1" t="s">
        <v>37</v>
      </c>
      <c r="C28" s="1" t="s">
        <v>196</v>
      </c>
      <c r="D28" s="1" t="s">
        <v>189</v>
      </c>
      <c r="E28" s="1" t="s">
        <v>190</v>
      </c>
      <c r="F28" s="1" t="s">
        <v>189</v>
      </c>
      <c r="G28" s="1" t="s">
        <v>189</v>
      </c>
      <c r="H28" s="1" t="s">
        <v>190</v>
      </c>
      <c r="I28" s="1" t="s">
        <v>190</v>
      </c>
      <c r="J28" s="1" t="s">
        <v>190</v>
      </c>
      <c r="K28" s="1" t="s">
        <v>190</v>
      </c>
      <c r="L28" s="1" t="s">
        <v>190</v>
      </c>
      <c r="M28" s="1" t="s">
        <v>190</v>
      </c>
      <c r="N28" s="1" t="s">
        <v>190</v>
      </c>
      <c r="O28" s="1" t="s">
        <v>189</v>
      </c>
      <c r="P28" s="1" t="s">
        <v>189</v>
      </c>
      <c r="Q28" s="1" t="s">
        <v>189</v>
      </c>
      <c r="R28" s="1" t="s">
        <v>189</v>
      </c>
      <c r="S28" s="1" t="s">
        <v>190</v>
      </c>
      <c r="T28" s="1" t="s">
        <v>189</v>
      </c>
      <c r="U28" s="1" t="s">
        <v>189</v>
      </c>
      <c r="V28" s="1" t="s">
        <v>190</v>
      </c>
      <c r="W28" s="1" t="s">
        <v>190</v>
      </c>
      <c r="X28" s="1" t="s">
        <v>189</v>
      </c>
      <c r="Y28" s="1" t="s">
        <v>189</v>
      </c>
      <c r="Z28" s="1" t="s">
        <v>189</v>
      </c>
      <c r="AA28" s="1" t="s">
        <v>190</v>
      </c>
      <c r="AB28" s="1">
        <f t="shared" si="1"/>
        <v>12</v>
      </c>
      <c r="AC28" s="1">
        <f t="shared" si="0"/>
        <v>12</v>
      </c>
      <c r="AD28" s="1">
        <f t="shared" si="2"/>
        <v>50</v>
      </c>
    </row>
    <row r="29" spans="1:31" x14ac:dyDescent="0.2">
      <c r="A29" s="1">
        <v>2024</v>
      </c>
      <c r="B29" s="1" t="s">
        <v>33</v>
      </c>
      <c r="C29" s="1" t="s">
        <v>196</v>
      </c>
      <c r="D29" s="1" t="s">
        <v>189</v>
      </c>
      <c r="E29" s="1" t="s">
        <v>189</v>
      </c>
      <c r="F29" s="1" t="s">
        <v>189</v>
      </c>
      <c r="G29" s="1" t="s">
        <v>189</v>
      </c>
      <c r="H29" s="1" t="s">
        <v>190</v>
      </c>
      <c r="I29" s="1" t="s">
        <v>189</v>
      </c>
      <c r="J29" s="1" t="s">
        <v>189</v>
      </c>
      <c r="K29" s="1" t="s">
        <v>189</v>
      </c>
      <c r="L29" s="1" t="s">
        <v>189</v>
      </c>
      <c r="M29" s="1" t="s">
        <v>189</v>
      </c>
      <c r="N29" s="1" t="s">
        <v>189</v>
      </c>
      <c r="O29" s="1" t="s">
        <v>189</v>
      </c>
      <c r="P29" s="1" t="s">
        <v>189</v>
      </c>
      <c r="Q29" s="1" t="s">
        <v>189</v>
      </c>
      <c r="R29" s="1" t="s">
        <v>189</v>
      </c>
      <c r="S29" s="1" t="s">
        <v>189</v>
      </c>
      <c r="T29" s="1" t="s">
        <v>189</v>
      </c>
      <c r="U29" s="1" t="s">
        <v>189</v>
      </c>
      <c r="V29" s="1" t="s">
        <v>189</v>
      </c>
      <c r="W29" s="1" t="s">
        <v>189</v>
      </c>
      <c r="X29" s="1" t="s">
        <v>189</v>
      </c>
      <c r="Y29" s="1" t="s">
        <v>189</v>
      </c>
      <c r="Z29" s="1" t="s">
        <v>189</v>
      </c>
      <c r="AA29" s="1" t="s">
        <v>189</v>
      </c>
      <c r="AB29" s="1">
        <f t="shared" si="1"/>
        <v>23</v>
      </c>
      <c r="AC29" s="1">
        <f t="shared" si="0"/>
        <v>1</v>
      </c>
      <c r="AD29" s="1">
        <f t="shared" si="2"/>
        <v>95.833333333333343</v>
      </c>
    </row>
    <row r="30" spans="1:31" x14ac:dyDescent="0.2">
      <c r="A30" s="1">
        <v>2024</v>
      </c>
      <c r="B30" s="1" t="s">
        <v>32</v>
      </c>
      <c r="C30" s="1" t="s">
        <v>196</v>
      </c>
      <c r="D30" s="1" t="s">
        <v>189</v>
      </c>
      <c r="E30" s="1" t="s">
        <v>189</v>
      </c>
      <c r="F30" s="1" t="s">
        <v>189</v>
      </c>
      <c r="G30" s="1" t="s">
        <v>189</v>
      </c>
      <c r="H30" s="1" t="s">
        <v>189</v>
      </c>
      <c r="I30" s="1" t="s">
        <v>189</v>
      </c>
      <c r="J30" s="1" t="s">
        <v>189</v>
      </c>
      <c r="K30" s="1" t="s">
        <v>189</v>
      </c>
      <c r="L30" s="1" t="s">
        <v>189</v>
      </c>
      <c r="M30" s="1" t="s">
        <v>189</v>
      </c>
      <c r="N30" s="1" t="s">
        <v>189</v>
      </c>
      <c r="O30" s="1" t="s">
        <v>189</v>
      </c>
      <c r="P30" s="1" t="s">
        <v>189</v>
      </c>
      <c r="Q30" s="1" t="s">
        <v>189</v>
      </c>
      <c r="R30" s="1" t="s">
        <v>189</v>
      </c>
      <c r="S30" s="1" t="s">
        <v>190</v>
      </c>
      <c r="T30" s="1" t="s">
        <v>190</v>
      </c>
      <c r="U30" s="1" t="s">
        <v>190</v>
      </c>
      <c r="V30" s="1" t="s">
        <v>190</v>
      </c>
      <c r="W30" s="1" t="s">
        <v>190</v>
      </c>
      <c r="X30" s="1" t="s">
        <v>190</v>
      </c>
      <c r="Y30" s="1" t="s">
        <v>190</v>
      </c>
      <c r="Z30" s="1" t="s">
        <v>190</v>
      </c>
      <c r="AA30" s="1" t="s">
        <v>190</v>
      </c>
      <c r="AB30" s="1">
        <f t="shared" si="1"/>
        <v>15</v>
      </c>
      <c r="AC30" s="1">
        <f t="shared" si="0"/>
        <v>9</v>
      </c>
      <c r="AD30" s="1">
        <f t="shared" si="2"/>
        <v>62.5</v>
      </c>
    </row>
    <row r="31" spans="1:31" x14ac:dyDescent="0.2">
      <c r="A31" s="1">
        <v>2024</v>
      </c>
      <c r="B31" s="1" t="s">
        <v>31</v>
      </c>
      <c r="C31" s="1" t="s">
        <v>196</v>
      </c>
      <c r="D31" s="1" t="s">
        <v>189</v>
      </c>
      <c r="E31" s="1" t="s">
        <v>189</v>
      </c>
      <c r="F31" s="1" t="s">
        <v>190</v>
      </c>
      <c r="G31" s="1" t="s">
        <v>190</v>
      </c>
      <c r="H31" s="1" t="s">
        <v>190</v>
      </c>
      <c r="I31" s="1" t="s">
        <v>190</v>
      </c>
      <c r="J31" s="1" t="s">
        <v>190</v>
      </c>
      <c r="K31" s="1" t="s">
        <v>189</v>
      </c>
      <c r="L31" s="1" t="s">
        <v>189</v>
      </c>
      <c r="M31" s="1" t="s">
        <v>189</v>
      </c>
      <c r="N31" s="1" t="s">
        <v>189</v>
      </c>
      <c r="O31" s="1" t="s">
        <v>189</v>
      </c>
      <c r="P31" s="1" t="s">
        <v>189</v>
      </c>
      <c r="Q31" s="1" t="s">
        <v>189</v>
      </c>
      <c r="R31" s="1" t="s">
        <v>189</v>
      </c>
      <c r="S31" s="1" t="s">
        <v>189</v>
      </c>
      <c r="T31" s="1" t="s">
        <v>189</v>
      </c>
      <c r="U31" s="1" t="s">
        <v>189</v>
      </c>
      <c r="V31" s="1" t="s">
        <v>189</v>
      </c>
      <c r="W31" s="1" t="s">
        <v>189</v>
      </c>
      <c r="X31" s="1" t="s">
        <v>190</v>
      </c>
      <c r="Y31" s="1" t="s">
        <v>190</v>
      </c>
      <c r="Z31" s="1" t="s">
        <v>190</v>
      </c>
      <c r="AA31" s="1" t="s">
        <v>190</v>
      </c>
      <c r="AB31" s="1">
        <f t="shared" si="1"/>
        <v>15</v>
      </c>
      <c r="AC31" s="1">
        <f t="shared" si="0"/>
        <v>9</v>
      </c>
      <c r="AD31" s="1">
        <f t="shared" si="2"/>
        <v>62.5</v>
      </c>
    </row>
    <row r="32" spans="1:31" x14ac:dyDescent="0.2">
      <c r="A32" s="1">
        <v>2024</v>
      </c>
      <c r="B32" s="1" t="s">
        <v>12</v>
      </c>
      <c r="C32" s="1" t="s">
        <v>196</v>
      </c>
      <c r="D32" s="1" t="s">
        <v>189</v>
      </c>
      <c r="E32" s="1" t="s">
        <v>190</v>
      </c>
      <c r="F32" s="1" t="s">
        <v>189</v>
      </c>
      <c r="G32" s="1" t="s">
        <v>189</v>
      </c>
      <c r="H32" s="1" t="s">
        <v>189</v>
      </c>
      <c r="I32" s="1" t="s">
        <v>189</v>
      </c>
      <c r="J32" s="1" t="s">
        <v>189</v>
      </c>
      <c r="K32" s="1" t="s">
        <v>189</v>
      </c>
      <c r="L32" s="1" t="s">
        <v>190</v>
      </c>
      <c r="M32" s="1" t="s">
        <v>189</v>
      </c>
      <c r="N32" s="1" t="s">
        <v>190</v>
      </c>
      <c r="O32" s="1" t="s">
        <v>190</v>
      </c>
      <c r="P32" s="1" t="s">
        <v>190</v>
      </c>
      <c r="Q32" s="1" t="s">
        <v>189</v>
      </c>
      <c r="R32" s="1" t="s">
        <v>189</v>
      </c>
      <c r="S32" s="1" t="s">
        <v>190</v>
      </c>
      <c r="T32" s="1" t="s">
        <v>190</v>
      </c>
      <c r="U32" s="1" t="s">
        <v>189</v>
      </c>
      <c r="V32" s="1" t="s">
        <v>189</v>
      </c>
      <c r="W32" s="1" t="s">
        <v>190</v>
      </c>
      <c r="X32" s="1" t="s">
        <v>189</v>
      </c>
      <c r="Y32" s="1" t="s">
        <v>189</v>
      </c>
      <c r="Z32" s="1" t="s">
        <v>189</v>
      </c>
      <c r="AA32" s="1" t="s">
        <v>189</v>
      </c>
      <c r="AB32" s="1">
        <f t="shared" si="1"/>
        <v>16</v>
      </c>
      <c r="AC32" s="1">
        <f t="shared" si="0"/>
        <v>8</v>
      </c>
      <c r="AD32" s="1">
        <f t="shared" si="2"/>
        <v>66.666666666666657</v>
      </c>
    </row>
    <row r="33" spans="1:31" x14ac:dyDescent="0.2">
      <c r="A33" s="1">
        <v>2024</v>
      </c>
      <c r="B33" s="1" t="s">
        <v>43</v>
      </c>
      <c r="C33" s="1" t="s">
        <v>196</v>
      </c>
      <c r="D33" s="1" t="s">
        <v>189</v>
      </c>
      <c r="E33" s="1" t="s">
        <v>190</v>
      </c>
      <c r="F33" s="1" t="s">
        <v>190</v>
      </c>
      <c r="G33" s="1" t="s">
        <v>190</v>
      </c>
      <c r="H33" s="1" t="s">
        <v>189</v>
      </c>
      <c r="I33" s="1" t="s">
        <v>189</v>
      </c>
      <c r="J33" s="1" t="s">
        <v>189</v>
      </c>
      <c r="K33" s="1" t="s">
        <v>190</v>
      </c>
      <c r="L33" s="1" t="s">
        <v>190</v>
      </c>
      <c r="M33" s="1" t="s">
        <v>189</v>
      </c>
      <c r="N33" s="1" t="s">
        <v>190</v>
      </c>
      <c r="O33" s="1" t="s">
        <v>189</v>
      </c>
      <c r="P33" s="1" t="s">
        <v>189</v>
      </c>
      <c r="Q33" s="1" t="s">
        <v>190</v>
      </c>
      <c r="R33" s="1" t="s">
        <v>190</v>
      </c>
      <c r="S33" s="1" t="s">
        <v>190</v>
      </c>
      <c r="T33" s="1" t="s">
        <v>190</v>
      </c>
      <c r="U33" s="1" t="s">
        <v>190</v>
      </c>
      <c r="V33" s="1" t="s">
        <v>190</v>
      </c>
      <c r="W33" s="1" t="s">
        <v>190</v>
      </c>
      <c r="X33" s="1" t="s">
        <v>190</v>
      </c>
      <c r="Y33" s="1" t="s">
        <v>190</v>
      </c>
      <c r="Z33" s="1" t="s">
        <v>190</v>
      </c>
      <c r="AA33" s="1" t="s">
        <v>190</v>
      </c>
      <c r="AB33" s="1">
        <f t="shared" si="1"/>
        <v>7</v>
      </c>
      <c r="AC33" s="1">
        <f t="shared" si="0"/>
        <v>17</v>
      </c>
      <c r="AD33" s="1">
        <f t="shared" si="2"/>
        <v>29.166666666666668</v>
      </c>
    </row>
    <row r="34" spans="1:31" x14ac:dyDescent="0.2">
      <c r="A34" s="1">
        <v>2024</v>
      </c>
      <c r="B34" s="1" t="s">
        <v>11</v>
      </c>
      <c r="C34" s="1" t="s">
        <v>196</v>
      </c>
      <c r="D34" s="1" t="s">
        <v>189</v>
      </c>
      <c r="E34" s="1" t="s">
        <v>189</v>
      </c>
      <c r="F34" s="1" t="s">
        <v>189</v>
      </c>
      <c r="G34" s="1" t="s">
        <v>190</v>
      </c>
      <c r="H34" s="1" t="s">
        <v>190</v>
      </c>
      <c r="I34" s="1" t="s">
        <v>190</v>
      </c>
      <c r="J34" s="1" t="s">
        <v>189</v>
      </c>
      <c r="K34" s="1" t="s">
        <v>189</v>
      </c>
      <c r="L34" s="1" t="s">
        <v>189</v>
      </c>
      <c r="M34" s="1" t="s">
        <v>189</v>
      </c>
      <c r="N34" s="1" t="s">
        <v>189</v>
      </c>
      <c r="O34" s="1" t="s">
        <v>189</v>
      </c>
      <c r="P34" s="1" t="s">
        <v>189</v>
      </c>
      <c r="Q34" s="1" t="s">
        <v>189</v>
      </c>
      <c r="R34" s="1" t="s">
        <v>190</v>
      </c>
      <c r="S34" s="1" t="s">
        <v>190</v>
      </c>
      <c r="T34" s="1" t="s">
        <v>189</v>
      </c>
      <c r="U34" s="1" t="s">
        <v>189</v>
      </c>
      <c r="V34" s="1" t="s">
        <v>189</v>
      </c>
      <c r="W34" s="1" t="s">
        <v>189</v>
      </c>
      <c r="X34" s="1" t="s">
        <v>190</v>
      </c>
      <c r="Y34" s="1" t="s">
        <v>189</v>
      </c>
      <c r="Z34" s="1" t="s">
        <v>189</v>
      </c>
      <c r="AA34" s="1" t="s">
        <v>189</v>
      </c>
      <c r="AB34" s="1">
        <f t="shared" si="1"/>
        <v>18</v>
      </c>
      <c r="AC34" s="1">
        <f t="shared" si="0"/>
        <v>6</v>
      </c>
      <c r="AD34" s="1">
        <f t="shared" si="2"/>
        <v>75</v>
      </c>
    </row>
    <row r="35" spans="1:31" x14ac:dyDescent="0.2">
      <c r="A35" s="1">
        <v>2024</v>
      </c>
      <c r="B35" s="1" t="s">
        <v>41</v>
      </c>
      <c r="C35" s="1" t="s">
        <v>196</v>
      </c>
      <c r="D35" s="1" t="s">
        <v>189</v>
      </c>
      <c r="E35" s="1" t="s">
        <v>189</v>
      </c>
      <c r="F35" s="1" t="s">
        <v>189</v>
      </c>
      <c r="G35" s="1" t="s">
        <v>190</v>
      </c>
      <c r="H35" s="1" t="s">
        <v>190</v>
      </c>
      <c r="I35" s="1" t="s">
        <v>189</v>
      </c>
      <c r="J35" s="1" t="s">
        <v>189</v>
      </c>
      <c r="K35" s="1" t="s">
        <v>190</v>
      </c>
      <c r="L35" s="1" t="s">
        <v>190</v>
      </c>
      <c r="M35" s="1" t="s">
        <v>190</v>
      </c>
      <c r="N35" s="1" t="s">
        <v>190</v>
      </c>
      <c r="O35" s="1" t="s">
        <v>190</v>
      </c>
      <c r="P35" s="1" t="s">
        <v>190</v>
      </c>
      <c r="Q35" s="1" t="s">
        <v>190</v>
      </c>
      <c r="R35" s="1" t="s">
        <v>190</v>
      </c>
      <c r="S35" s="1" t="s">
        <v>190</v>
      </c>
      <c r="T35" s="1" t="s">
        <v>190</v>
      </c>
      <c r="U35" s="1" t="s">
        <v>190</v>
      </c>
      <c r="V35" s="1" t="s">
        <v>190</v>
      </c>
      <c r="W35" s="1" t="s">
        <v>190</v>
      </c>
      <c r="X35" s="1" t="s">
        <v>190</v>
      </c>
      <c r="Y35" s="1" t="s">
        <v>190</v>
      </c>
      <c r="Z35" s="1" t="s">
        <v>190</v>
      </c>
      <c r="AA35" s="1" t="s">
        <v>190</v>
      </c>
      <c r="AB35" s="1">
        <f t="shared" si="1"/>
        <v>5</v>
      </c>
      <c r="AC35" s="1">
        <f t="shared" si="0"/>
        <v>19</v>
      </c>
      <c r="AD35" s="1">
        <f t="shared" si="2"/>
        <v>20.833333333333336</v>
      </c>
    </row>
    <row r="36" spans="1:31" x14ac:dyDescent="0.2">
      <c r="A36" s="1">
        <v>2024</v>
      </c>
      <c r="B36" s="1" t="s">
        <v>9</v>
      </c>
      <c r="C36" s="1" t="s">
        <v>196</v>
      </c>
      <c r="D36" s="1" t="s">
        <v>189</v>
      </c>
      <c r="E36" s="1" t="s">
        <v>190</v>
      </c>
      <c r="F36" s="1" t="s">
        <v>189</v>
      </c>
      <c r="G36" s="1" t="s">
        <v>189</v>
      </c>
      <c r="H36" s="1" t="s">
        <v>189</v>
      </c>
      <c r="I36" s="1" t="s">
        <v>189</v>
      </c>
      <c r="J36" s="1" t="s">
        <v>190</v>
      </c>
      <c r="K36" s="1" t="s">
        <v>189</v>
      </c>
      <c r="L36" s="1" t="s">
        <v>189</v>
      </c>
      <c r="M36" s="1" t="s">
        <v>190</v>
      </c>
      <c r="N36" s="1" t="s">
        <v>189</v>
      </c>
      <c r="O36" s="1" t="s">
        <v>189</v>
      </c>
      <c r="P36" s="1" t="s">
        <v>189</v>
      </c>
      <c r="Q36" s="1" t="s">
        <v>190</v>
      </c>
      <c r="R36" s="1" t="s">
        <v>189</v>
      </c>
      <c r="S36" s="1" t="s">
        <v>189</v>
      </c>
      <c r="T36" s="1" t="s">
        <v>189</v>
      </c>
      <c r="U36" s="1" t="s">
        <v>189</v>
      </c>
      <c r="V36" s="1" t="s">
        <v>189</v>
      </c>
      <c r="W36" s="1" t="s">
        <v>189</v>
      </c>
      <c r="X36" s="1" t="s">
        <v>190</v>
      </c>
      <c r="Y36" s="1" t="s">
        <v>189</v>
      </c>
      <c r="Z36" s="1" t="s">
        <v>189</v>
      </c>
      <c r="AA36" s="1" t="s">
        <v>190</v>
      </c>
      <c r="AB36" s="1">
        <f t="shared" si="1"/>
        <v>18</v>
      </c>
      <c r="AC36" s="1">
        <f t="shared" si="0"/>
        <v>6</v>
      </c>
      <c r="AD36" s="1">
        <f t="shared" si="2"/>
        <v>75</v>
      </c>
    </row>
    <row r="37" spans="1:31" x14ac:dyDescent="0.2">
      <c r="A37" s="1">
        <v>2024</v>
      </c>
      <c r="B37" s="1" t="s">
        <v>6</v>
      </c>
      <c r="C37" s="1" t="s">
        <v>196</v>
      </c>
      <c r="D37" s="1" t="s">
        <v>190</v>
      </c>
      <c r="E37" s="1" t="s">
        <v>189</v>
      </c>
      <c r="F37" s="1" t="s">
        <v>189</v>
      </c>
      <c r="G37" s="1" t="s">
        <v>189</v>
      </c>
      <c r="H37" s="1" t="s">
        <v>189</v>
      </c>
      <c r="I37" s="1" t="s">
        <v>189</v>
      </c>
      <c r="J37" s="1" t="s">
        <v>190</v>
      </c>
      <c r="K37" s="1" t="s">
        <v>190</v>
      </c>
      <c r="L37" s="1" t="s">
        <v>190</v>
      </c>
      <c r="M37" s="1" t="s">
        <v>190</v>
      </c>
      <c r="N37" s="1" t="s">
        <v>190</v>
      </c>
      <c r="O37" s="1" t="s">
        <v>190</v>
      </c>
      <c r="P37" s="1" t="s">
        <v>190</v>
      </c>
      <c r="Q37" s="1" t="s">
        <v>190</v>
      </c>
      <c r="R37" s="1" t="s">
        <v>190</v>
      </c>
      <c r="S37" s="1" t="s">
        <v>190</v>
      </c>
      <c r="T37" s="1" t="s">
        <v>190</v>
      </c>
      <c r="U37" s="1" t="s">
        <v>190</v>
      </c>
      <c r="V37" s="1" t="s">
        <v>190</v>
      </c>
      <c r="W37" s="1" t="s">
        <v>190</v>
      </c>
      <c r="X37" s="1" t="s">
        <v>190</v>
      </c>
      <c r="Y37" s="1" t="s">
        <v>190</v>
      </c>
      <c r="Z37" s="1" t="s">
        <v>190</v>
      </c>
      <c r="AA37" s="1" t="s">
        <v>190</v>
      </c>
      <c r="AB37" s="1">
        <f t="shared" si="1"/>
        <v>5</v>
      </c>
      <c r="AC37" s="1">
        <f t="shared" si="0"/>
        <v>19</v>
      </c>
      <c r="AD37" s="1">
        <f t="shared" si="2"/>
        <v>20.833333333333336</v>
      </c>
    </row>
    <row r="38" spans="1:31" x14ac:dyDescent="0.2">
      <c r="A38" s="1">
        <v>2024</v>
      </c>
      <c r="B38" s="1" t="s">
        <v>27</v>
      </c>
      <c r="C38" s="1" t="s">
        <v>196</v>
      </c>
      <c r="D38" s="1" t="s">
        <v>189</v>
      </c>
      <c r="E38" s="1" t="s">
        <v>189</v>
      </c>
      <c r="F38" s="1" t="s">
        <v>189</v>
      </c>
      <c r="G38" s="1" t="s">
        <v>189</v>
      </c>
      <c r="H38" s="1" t="s">
        <v>189</v>
      </c>
      <c r="I38" s="1" t="s">
        <v>189</v>
      </c>
      <c r="J38" s="1" t="s">
        <v>189</v>
      </c>
      <c r="K38" s="1" t="s">
        <v>189</v>
      </c>
      <c r="L38" s="1" t="s">
        <v>189</v>
      </c>
      <c r="M38" s="1" t="s">
        <v>189</v>
      </c>
      <c r="N38" s="1" t="s">
        <v>189</v>
      </c>
      <c r="O38" s="1" t="s">
        <v>189</v>
      </c>
      <c r="P38" s="1" t="s">
        <v>190</v>
      </c>
      <c r="Q38" s="1" t="s">
        <v>189</v>
      </c>
      <c r="R38" s="1" t="s">
        <v>189</v>
      </c>
      <c r="S38" s="1" t="s">
        <v>189</v>
      </c>
      <c r="T38" s="1" t="s">
        <v>189</v>
      </c>
      <c r="U38" s="1" t="s">
        <v>189</v>
      </c>
      <c r="V38" s="1" t="s">
        <v>189</v>
      </c>
      <c r="W38" s="1" t="s">
        <v>189</v>
      </c>
      <c r="X38" s="1" t="s">
        <v>189</v>
      </c>
      <c r="Y38" s="1" t="s">
        <v>189</v>
      </c>
      <c r="Z38" s="1" t="s">
        <v>189</v>
      </c>
      <c r="AA38" s="1" t="s">
        <v>189</v>
      </c>
      <c r="AB38" s="1">
        <f t="shared" si="1"/>
        <v>23</v>
      </c>
      <c r="AC38" s="1">
        <f t="shared" si="0"/>
        <v>1</v>
      </c>
      <c r="AD38" s="1">
        <f t="shared" si="2"/>
        <v>95.833333333333343</v>
      </c>
    </row>
    <row r="39" spans="1:31" x14ac:dyDescent="0.2">
      <c r="A39" s="1">
        <v>2024</v>
      </c>
      <c r="B39" s="1" t="s">
        <v>24</v>
      </c>
      <c r="C39" s="1" t="s">
        <v>196</v>
      </c>
      <c r="D39" s="1" t="s">
        <v>189</v>
      </c>
      <c r="E39" s="1" t="s">
        <v>189</v>
      </c>
      <c r="F39" s="1" t="s">
        <v>189</v>
      </c>
      <c r="G39" s="1" t="s">
        <v>189</v>
      </c>
      <c r="H39" s="1" t="s">
        <v>189</v>
      </c>
      <c r="I39" s="1" t="s">
        <v>189</v>
      </c>
      <c r="J39" s="1" t="s">
        <v>189</v>
      </c>
      <c r="K39" s="1" t="s">
        <v>189</v>
      </c>
      <c r="L39" s="1" t="s">
        <v>189</v>
      </c>
      <c r="M39" s="1" t="s">
        <v>189</v>
      </c>
      <c r="N39" s="1" t="s">
        <v>189</v>
      </c>
      <c r="O39" s="1" t="s">
        <v>189</v>
      </c>
      <c r="P39" s="1" t="s">
        <v>189</v>
      </c>
      <c r="Q39" s="1" t="s">
        <v>189</v>
      </c>
      <c r="R39" s="1" t="s">
        <v>189</v>
      </c>
      <c r="S39" s="1" t="s">
        <v>189</v>
      </c>
      <c r="T39" s="1" t="s">
        <v>189</v>
      </c>
      <c r="U39" s="1" t="s">
        <v>189</v>
      </c>
      <c r="V39" s="1" t="s">
        <v>189</v>
      </c>
      <c r="W39" s="1" t="s">
        <v>189</v>
      </c>
      <c r="X39" s="1" t="s">
        <v>189</v>
      </c>
      <c r="Y39" s="1" t="s">
        <v>189</v>
      </c>
      <c r="Z39" s="1" t="s">
        <v>189</v>
      </c>
      <c r="AA39" s="1" t="s">
        <v>189</v>
      </c>
      <c r="AB39" s="1">
        <f t="shared" si="1"/>
        <v>24</v>
      </c>
      <c r="AC39" s="1">
        <f t="shared" si="0"/>
        <v>0</v>
      </c>
      <c r="AD39" s="1">
        <f t="shared" si="2"/>
        <v>100</v>
      </c>
    </row>
    <row r="40" spans="1:31" x14ac:dyDescent="0.2">
      <c r="A40" s="1">
        <v>2024</v>
      </c>
      <c r="B40" s="1" t="s">
        <v>3</v>
      </c>
      <c r="C40" s="1" t="s">
        <v>196</v>
      </c>
      <c r="D40" s="1" t="s">
        <v>189</v>
      </c>
      <c r="E40" s="1" t="s">
        <v>189</v>
      </c>
      <c r="F40" s="1" t="s">
        <v>189</v>
      </c>
      <c r="G40" s="1" t="s">
        <v>189</v>
      </c>
      <c r="H40" s="1" t="s">
        <v>189</v>
      </c>
      <c r="I40" s="1" t="s">
        <v>190</v>
      </c>
      <c r="J40" s="1" t="s">
        <v>190</v>
      </c>
      <c r="K40" s="1" t="s">
        <v>189</v>
      </c>
      <c r="L40" s="1" t="s">
        <v>189</v>
      </c>
      <c r="M40" s="1" t="s">
        <v>190</v>
      </c>
      <c r="N40" s="1" t="s">
        <v>189</v>
      </c>
      <c r="O40" s="1" t="s">
        <v>190</v>
      </c>
      <c r="P40" s="1" t="s">
        <v>190</v>
      </c>
      <c r="Q40" s="1" t="s">
        <v>189</v>
      </c>
      <c r="R40" s="1" t="s">
        <v>189</v>
      </c>
      <c r="S40" s="1" t="s">
        <v>189</v>
      </c>
      <c r="T40" s="1" t="s">
        <v>189</v>
      </c>
      <c r="U40" s="1" t="s">
        <v>189</v>
      </c>
      <c r="V40" s="1" t="s">
        <v>190</v>
      </c>
      <c r="W40" s="1" t="s">
        <v>190</v>
      </c>
      <c r="X40" s="1" t="s">
        <v>190</v>
      </c>
      <c r="Y40" s="1" t="s">
        <v>190</v>
      </c>
      <c r="Z40" s="1" t="s">
        <v>190</v>
      </c>
      <c r="AA40" s="1" t="s">
        <v>190</v>
      </c>
      <c r="AB40" s="1">
        <f t="shared" si="1"/>
        <v>13</v>
      </c>
      <c r="AC40" s="1">
        <f t="shared" si="0"/>
        <v>11</v>
      </c>
      <c r="AD40" s="1">
        <f t="shared" si="2"/>
        <v>54.166666666666664</v>
      </c>
    </row>
    <row r="41" spans="1:31" x14ac:dyDescent="0.2">
      <c r="A41" s="1">
        <v>2024</v>
      </c>
      <c r="B41" s="1" t="s">
        <v>2</v>
      </c>
      <c r="C41" s="1" t="s">
        <v>196</v>
      </c>
      <c r="D41" s="1" t="s">
        <v>190</v>
      </c>
      <c r="E41" s="1" t="s">
        <v>189</v>
      </c>
      <c r="F41" s="1" t="s">
        <v>189</v>
      </c>
      <c r="G41" s="1" t="s">
        <v>190</v>
      </c>
      <c r="H41" s="1" t="s">
        <v>190</v>
      </c>
      <c r="I41" s="1" t="s">
        <v>189</v>
      </c>
      <c r="J41" s="1" t="s">
        <v>189</v>
      </c>
      <c r="K41" s="1" t="s">
        <v>189</v>
      </c>
      <c r="L41" s="1" t="s">
        <v>189</v>
      </c>
      <c r="M41" s="1" t="s">
        <v>189</v>
      </c>
      <c r="N41" s="1" t="s">
        <v>189</v>
      </c>
      <c r="O41" s="1" t="s">
        <v>189</v>
      </c>
      <c r="P41" s="1" t="s">
        <v>189</v>
      </c>
      <c r="Q41" s="1" t="s">
        <v>189</v>
      </c>
      <c r="R41" s="1" t="s">
        <v>189</v>
      </c>
      <c r="S41" s="1" t="s">
        <v>189</v>
      </c>
      <c r="T41" s="1" t="s">
        <v>190</v>
      </c>
      <c r="U41" s="1" t="s">
        <v>189</v>
      </c>
      <c r="V41" s="1" t="s">
        <v>189</v>
      </c>
      <c r="W41" s="1" t="s">
        <v>189</v>
      </c>
      <c r="X41" s="1" t="s">
        <v>189</v>
      </c>
      <c r="Y41" s="1" t="s">
        <v>189</v>
      </c>
      <c r="Z41" s="1" t="s">
        <v>190</v>
      </c>
      <c r="AA41" s="1" t="s">
        <v>189</v>
      </c>
      <c r="AB41" s="1">
        <f t="shared" si="1"/>
        <v>19</v>
      </c>
      <c r="AC41" s="1">
        <f t="shared" si="0"/>
        <v>5</v>
      </c>
      <c r="AD41" s="1">
        <f t="shared" si="2"/>
        <v>79.166666666666657</v>
      </c>
    </row>
    <row r="42" spans="1:31" x14ac:dyDescent="0.2">
      <c r="A42" s="1">
        <v>2024</v>
      </c>
      <c r="B42" s="1" t="s">
        <v>23</v>
      </c>
      <c r="C42" s="1" t="s">
        <v>196</v>
      </c>
      <c r="D42" s="1" t="s">
        <v>189</v>
      </c>
      <c r="E42" s="1" t="s">
        <v>189</v>
      </c>
      <c r="F42" s="1" t="s">
        <v>189</v>
      </c>
      <c r="G42" s="1" t="s">
        <v>189</v>
      </c>
      <c r="H42" s="1" t="s">
        <v>189</v>
      </c>
      <c r="I42" s="1" t="s">
        <v>189</v>
      </c>
      <c r="J42" s="1" t="s">
        <v>189</v>
      </c>
      <c r="K42" s="1" t="s">
        <v>189</v>
      </c>
      <c r="L42" s="1" t="s">
        <v>189</v>
      </c>
      <c r="M42" s="1" t="s">
        <v>189</v>
      </c>
      <c r="N42" s="1" t="s">
        <v>189</v>
      </c>
      <c r="O42" s="1" t="s">
        <v>189</v>
      </c>
      <c r="P42" s="1" t="s">
        <v>189</v>
      </c>
      <c r="Q42" s="1" t="s">
        <v>189</v>
      </c>
      <c r="R42" s="1" t="s">
        <v>189</v>
      </c>
      <c r="S42" s="1" t="s">
        <v>189</v>
      </c>
      <c r="T42" s="1" t="s">
        <v>189</v>
      </c>
      <c r="U42" s="1" t="s">
        <v>189</v>
      </c>
      <c r="V42" s="1" t="s">
        <v>189</v>
      </c>
      <c r="W42" s="1" t="s">
        <v>189</v>
      </c>
      <c r="X42" s="1" t="s">
        <v>189</v>
      </c>
      <c r="Y42" s="1" t="s">
        <v>189</v>
      </c>
      <c r="Z42" s="1" t="s">
        <v>189</v>
      </c>
      <c r="AA42" s="1" t="s">
        <v>189</v>
      </c>
      <c r="AB42" s="1">
        <f t="shared" si="1"/>
        <v>24</v>
      </c>
      <c r="AC42" s="1">
        <f t="shared" si="0"/>
        <v>0</v>
      </c>
      <c r="AD42" s="1">
        <f t="shared" si="2"/>
        <v>100</v>
      </c>
    </row>
    <row r="43" spans="1:31" x14ac:dyDescent="0.2">
      <c r="A43" s="1">
        <v>2024</v>
      </c>
      <c r="B43" s="1" t="s">
        <v>22</v>
      </c>
      <c r="C43" s="1" t="s">
        <v>196</v>
      </c>
      <c r="D43" s="1" t="s">
        <v>189</v>
      </c>
      <c r="E43" s="1" t="s">
        <v>190</v>
      </c>
      <c r="F43" s="1" t="s">
        <v>189</v>
      </c>
      <c r="G43" s="1" t="s">
        <v>190</v>
      </c>
      <c r="H43" s="1" t="s">
        <v>189</v>
      </c>
      <c r="I43" s="1" t="s">
        <v>189</v>
      </c>
      <c r="J43" s="1" t="s">
        <v>189</v>
      </c>
      <c r="K43" s="1" t="s">
        <v>189</v>
      </c>
      <c r="L43" s="1" t="s">
        <v>189</v>
      </c>
      <c r="M43" s="1" t="s">
        <v>189</v>
      </c>
      <c r="N43" s="1" t="s">
        <v>189</v>
      </c>
      <c r="O43" s="1" t="s">
        <v>189</v>
      </c>
      <c r="P43" s="1" t="s">
        <v>189</v>
      </c>
      <c r="Q43" s="1" t="s">
        <v>190</v>
      </c>
      <c r="R43" s="1" t="s">
        <v>189</v>
      </c>
      <c r="S43" s="1" t="s">
        <v>189</v>
      </c>
      <c r="T43" s="1" t="s">
        <v>189</v>
      </c>
      <c r="U43" s="1" t="s">
        <v>189</v>
      </c>
      <c r="V43" s="1" t="s">
        <v>189</v>
      </c>
      <c r="W43" s="1" t="s">
        <v>189</v>
      </c>
      <c r="X43" s="1" t="s">
        <v>189</v>
      </c>
      <c r="Y43" s="1" t="s">
        <v>189</v>
      </c>
      <c r="Z43" s="1" t="s">
        <v>190</v>
      </c>
      <c r="AA43" s="1" t="s">
        <v>189</v>
      </c>
      <c r="AB43" s="1">
        <f t="shared" si="1"/>
        <v>20</v>
      </c>
      <c r="AC43" s="1">
        <f t="shared" si="0"/>
        <v>4</v>
      </c>
      <c r="AD43" s="1">
        <f t="shared" si="2"/>
        <v>83.333333333333343</v>
      </c>
    </row>
    <row r="44" spans="1:31" x14ac:dyDescent="0.2">
      <c r="A44" s="1">
        <v>2024</v>
      </c>
      <c r="B44" s="1" t="s">
        <v>21</v>
      </c>
      <c r="C44" s="1" t="s">
        <v>196</v>
      </c>
      <c r="D44" s="1" t="s">
        <v>190</v>
      </c>
      <c r="E44" s="1" t="s">
        <v>190</v>
      </c>
      <c r="F44" s="1" t="s">
        <v>190</v>
      </c>
      <c r="G44" s="1" t="s">
        <v>190</v>
      </c>
      <c r="H44" s="1" t="s">
        <v>190</v>
      </c>
      <c r="I44" s="1" t="s">
        <v>190</v>
      </c>
      <c r="J44" s="1" t="s">
        <v>190</v>
      </c>
      <c r="K44" s="1" t="s">
        <v>190</v>
      </c>
      <c r="L44" s="1" t="s">
        <v>190</v>
      </c>
      <c r="M44" s="1" t="s">
        <v>190</v>
      </c>
      <c r="N44" s="1" t="s">
        <v>190</v>
      </c>
      <c r="O44" s="1" t="s">
        <v>190</v>
      </c>
      <c r="P44" s="1" t="s">
        <v>190</v>
      </c>
      <c r="Q44" s="1" t="s">
        <v>190</v>
      </c>
      <c r="R44" s="1" t="s">
        <v>190</v>
      </c>
      <c r="S44" s="1" t="s">
        <v>190</v>
      </c>
      <c r="T44" s="1" t="s">
        <v>190</v>
      </c>
      <c r="U44" s="1" t="s">
        <v>190</v>
      </c>
      <c r="V44" s="1" t="s">
        <v>190</v>
      </c>
      <c r="W44" s="1" t="s">
        <v>190</v>
      </c>
      <c r="X44" s="1" t="s">
        <v>190</v>
      </c>
      <c r="Y44" s="1" t="s">
        <v>190</v>
      </c>
      <c r="Z44" s="1" t="s">
        <v>190</v>
      </c>
      <c r="AA44" s="1" t="s">
        <v>190</v>
      </c>
      <c r="AB44" s="1">
        <f t="shared" si="1"/>
        <v>0</v>
      </c>
      <c r="AC44" s="1">
        <f t="shared" si="0"/>
        <v>24</v>
      </c>
    </row>
    <row r="45" spans="1:31" x14ac:dyDescent="0.2">
      <c r="A45" s="1">
        <v>2024</v>
      </c>
      <c r="B45" s="1" t="s">
        <v>47</v>
      </c>
      <c r="C45" s="1" t="s">
        <v>196</v>
      </c>
      <c r="D45" s="1" t="s">
        <v>189</v>
      </c>
      <c r="E45" s="1" t="s">
        <v>189</v>
      </c>
      <c r="F45" s="1" t="s">
        <v>190</v>
      </c>
      <c r="G45" s="1" t="s">
        <v>190</v>
      </c>
      <c r="H45" s="1" t="s">
        <v>189</v>
      </c>
      <c r="I45" s="1" t="s">
        <v>189</v>
      </c>
      <c r="J45" s="1" t="s">
        <v>189</v>
      </c>
      <c r="K45" s="1" t="s">
        <v>189</v>
      </c>
      <c r="L45" s="1" t="s">
        <v>190</v>
      </c>
      <c r="M45" s="1" t="s">
        <v>189</v>
      </c>
      <c r="N45" s="1" t="s">
        <v>189</v>
      </c>
      <c r="O45" s="1" t="s">
        <v>189</v>
      </c>
      <c r="P45" s="1" t="s">
        <v>190</v>
      </c>
      <c r="Q45" s="1" t="s">
        <v>189</v>
      </c>
      <c r="R45" s="1" t="s">
        <v>190</v>
      </c>
      <c r="S45" s="1" t="s">
        <v>189</v>
      </c>
      <c r="T45" s="1" t="s">
        <v>189</v>
      </c>
      <c r="U45" s="1" t="s">
        <v>189</v>
      </c>
      <c r="V45" s="1" t="s">
        <v>189</v>
      </c>
      <c r="W45" s="1" t="s">
        <v>189</v>
      </c>
      <c r="X45" s="1" t="s">
        <v>190</v>
      </c>
      <c r="Y45" s="1" t="s">
        <v>190</v>
      </c>
      <c r="Z45" s="1" t="s">
        <v>189</v>
      </c>
      <c r="AA45" s="1" t="s">
        <v>189</v>
      </c>
      <c r="AB45" s="1">
        <f t="shared" si="1"/>
        <v>17</v>
      </c>
      <c r="AC45" s="1">
        <f t="shared" si="0"/>
        <v>7</v>
      </c>
      <c r="AD45" s="1">
        <f t="shared" si="2"/>
        <v>70.833333333333343</v>
      </c>
    </row>
    <row r="46" spans="1:31" x14ac:dyDescent="0.2">
      <c r="A46" s="1">
        <v>2024</v>
      </c>
      <c r="B46" s="1" t="s">
        <v>16</v>
      </c>
      <c r="C46" s="1" t="s">
        <v>196</v>
      </c>
      <c r="D46" s="1" t="s">
        <v>190</v>
      </c>
      <c r="E46" s="1" t="s">
        <v>189</v>
      </c>
      <c r="F46" s="1" t="s">
        <v>189</v>
      </c>
      <c r="G46" s="1" t="s">
        <v>189</v>
      </c>
      <c r="H46" s="1" t="s">
        <v>189</v>
      </c>
      <c r="I46" s="1" t="s">
        <v>189</v>
      </c>
      <c r="J46" s="1" t="s">
        <v>189</v>
      </c>
      <c r="K46" s="1" t="s">
        <v>190</v>
      </c>
      <c r="L46" s="1" t="s">
        <v>190</v>
      </c>
      <c r="M46" s="1" t="s">
        <v>190</v>
      </c>
      <c r="N46" s="1" t="s">
        <v>190</v>
      </c>
      <c r="O46" s="1" t="s">
        <v>190</v>
      </c>
      <c r="P46" s="1" t="s">
        <v>190</v>
      </c>
      <c r="Q46" s="1" t="s">
        <v>190</v>
      </c>
      <c r="R46" s="1" t="s">
        <v>189</v>
      </c>
      <c r="S46" s="1" t="s">
        <v>189</v>
      </c>
      <c r="T46" s="1" t="s">
        <v>189</v>
      </c>
      <c r="U46" s="1" t="s">
        <v>189</v>
      </c>
      <c r="V46" s="1" t="s">
        <v>189</v>
      </c>
      <c r="W46" s="1" t="s">
        <v>189</v>
      </c>
      <c r="X46" s="1" t="s">
        <v>189</v>
      </c>
      <c r="Y46" s="1" t="s">
        <v>189</v>
      </c>
      <c r="Z46" s="1" t="s">
        <v>189</v>
      </c>
      <c r="AA46" s="1" t="s">
        <v>189</v>
      </c>
      <c r="AB46" s="1">
        <f t="shared" si="1"/>
        <v>16</v>
      </c>
      <c r="AC46" s="1">
        <f t="shared" si="0"/>
        <v>8</v>
      </c>
      <c r="AD46" s="1">
        <f t="shared" si="2"/>
        <v>66.666666666666657</v>
      </c>
    </row>
    <row r="47" spans="1:31" x14ac:dyDescent="0.2">
      <c r="A47" s="1">
        <v>2024</v>
      </c>
      <c r="B47" s="1" t="s">
        <v>14</v>
      </c>
      <c r="C47" s="1" t="s">
        <v>196</v>
      </c>
      <c r="D47" s="1" t="s">
        <v>190</v>
      </c>
      <c r="E47" s="1" t="s">
        <v>189</v>
      </c>
      <c r="F47" s="1" t="s">
        <v>189</v>
      </c>
      <c r="G47" s="1" t="s">
        <v>189</v>
      </c>
      <c r="H47" s="24" t="s">
        <v>197</v>
      </c>
      <c r="I47" s="1" t="s">
        <v>189</v>
      </c>
      <c r="J47" s="1" t="s">
        <v>189</v>
      </c>
      <c r="K47" s="1" t="s">
        <v>189</v>
      </c>
      <c r="L47" s="1" t="s">
        <v>189</v>
      </c>
      <c r="M47" s="1" t="s">
        <v>189</v>
      </c>
      <c r="N47" s="1" t="s">
        <v>189</v>
      </c>
      <c r="O47" s="1" t="s">
        <v>189</v>
      </c>
      <c r="P47" s="1" t="s">
        <v>189</v>
      </c>
      <c r="Q47" s="1" t="s">
        <v>189</v>
      </c>
      <c r="R47" s="1" t="s">
        <v>190</v>
      </c>
      <c r="S47" s="1" t="s">
        <v>189</v>
      </c>
      <c r="T47" s="1" t="s">
        <v>189</v>
      </c>
      <c r="U47" s="1" t="s">
        <v>189</v>
      </c>
      <c r="V47" s="1" t="s">
        <v>189</v>
      </c>
      <c r="W47" s="1" t="s">
        <v>189</v>
      </c>
      <c r="X47" s="1" t="s">
        <v>189</v>
      </c>
      <c r="Y47" s="1" t="s">
        <v>189</v>
      </c>
      <c r="Z47" s="1" t="s">
        <v>189</v>
      </c>
      <c r="AA47" s="1" t="s">
        <v>190</v>
      </c>
      <c r="AB47" s="24">
        <f t="shared" si="1"/>
        <v>20</v>
      </c>
      <c r="AC47" s="24">
        <f t="shared" si="0"/>
        <v>3</v>
      </c>
      <c r="AD47" s="24">
        <f t="shared" si="2"/>
        <v>83.333333333333343</v>
      </c>
      <c r="AE47" s="1" t="s">
        <v>198</v>
      </c>
    </row>
    <row r="49" spans="1:31" x14ac:dyDescent="0.2">
      <c r="AC49" s="1" t="s">
        <v>199</v>
      </c>
      <c r="AD49" s="1" t="s">
        <v>200</v>
      </c>
    </row>
    <row r="50" spans="1:31" x14ac:dyDescent="0.2">
      <c r="AB50" s="1">
        <v>2024</v>
      </c>
      <c r="AC50" s="1" t="s">
        <v>201</v>
      </c>
      <c r="AD50" s="1">
        <f>AVERAGE(AD3:AD47)</f>
        <v>71.959459459459453</v>
      </c>
      <c r="AE50" s="1" t="s">
        <v>202</v>
      </c>
    </row>
    <row r="51" spans="1:31" x14ac:dyDescent="0.2">
      <c r="AB51" s="1">
        <v>2024</v>
      </c>
      <c r="AC51" s="1" t="s">
        <v>103</v>
      </c>
      <c r="AD51" s="1">
        <f>AVERAGE(AD27:AD47)</f>
        <v>65.833333333333329</v>
      </c>
      <c r="AE51" s="1" t="s">
        <v>202</v>
      </c>
    </row>
    <row r="52" spans="1:31" x14ac:dyDescent="0.2">
      <c r="AB52" s="1">
        <v>2024</v>
      </c>
      <c r="AC52" s="1" t="s">
        <v>111</v>
      </c>
      <c r="AD52" s="1">
        <f>AVERAGE(AD3:AD24)</f>
        <v>78.6111111111111</v>
      </c>
      <c r="AE52" s="1" t="s">
        <v>202</v>
      </c>
    </row>
    <row r="54" spans="1:31" ht="16" x14ac:dyDescent="0.2">
      <c r="A54" s="1">
        <v>2025</v>
      </c>
      <c r="B54" s="55">
        <v>27</v>
      </c>
      <c r="C54" s="11" t="s">
        <v>196</v>
      </c>
      <c r="D54" s="11" t="s">
        <v>189</v>
      </c>
      <c r="E54" s="11" t="s">
        <v>189</v>
      </c>
      <c r="F54" s="11" t="s">
        <v>189</v>
      </c>
      <c r="G54" s="11" t="s">
        <v>189</v>
      </c>
      <c r="H54" s="11" t="s">
        <v>189</v>
      </c>
      <c r="I54" s="11" t="s">
        <v>189</v>
      </c>
      <c r="J54" s="11" t="s">
        <v>189</v>
      </c>
      <c r="K54" s="11" t="s">
        <v>189</v>
      </c>
      <c r="L54" s="11" t="s">
        <v>189</v>
      </c>
      <c r="M54" s="11" t="s">
        <v>189</v>
      </c>
      <c r="N54" s="11" t="s">
        <v>189</v>
      </c>
      <c r="O54" s="11" t="s">
        <v>190</v>
      </c>
      <c r="P54" s="11" t="s">
        <v>190</v>
      </c>
      <c r="Q54" s="11" t="s">
        <v>189</v>
      </c>
      <c r="R54" s="11" t="s">
        <v>189</v>
      </c>
      <c r="S54" s="11" t="s">
        <v>189</v>
      </c>
      <c r="T54" s="11" t="s">
        <v>189</v>
      </c>
      <c r="U54" s="11" t="s">
        <v>189</v>
      </c>
      <c r="V54" s="11" t="s">
        <v>189</v>
      </c>
      <c r="W54" s="11" t="s">
        <v>189</v>
      </c>
      <c r="X54" s="11" t="s">
        <v>189</v>
      </c>
      <c r="Y54" s="11" t="s">
        <v>189</v>
      </c>
      <c r="Z54" s="11" t="s">
        <v>189</v>
      </c>
      <c r="AA54" s="11" t="s">
        <v>189</v>
      </c>
      <c r="AB54" s="11">
        <f t="shared" ref="AB54:AB79" si="3">COUNTIF(D54:AA54,"yes")</f>
        <v>22</v>
      </c>
      <c r="AC54" s="11">
        <f t="shared" ref="AC54:AC79" si="4">COUNTIF(D54:AA54,"no")</f>
        <v>2</v>
      </c>
      <c r="AD54" s="56">
        <f t="shared" ref="AD54:AD79" si="5">AB54/24*100</f>
        <v>91.666666666666657</v>
      </c>
      <c r="AE54" s="11"/>
    </row>
    <row r="55" spans="1:31" ht="16" x14ac:dyDescent="0.2">
      <c r="A55" s="1">
        <v>2025</v>
      </c>
      <c r="B55" s="55">
        <v>28</v>
      </c>
      <c r="C55" s="11" t="s">
        <v>196</v>
      </c>
      <c r="D55" s="11" t="s">
        <v>190</v>
      </c>
      <c r="E55" s="11" t="s">
        <v>190</v>
      </c>
      <c r="F55" s="11" t="s">
        <v>189</v>
      </c>
      <c r="G55" s="11" t="s">
        <v>189</v>
      </c>
      <c r="H55" s="11" t="s">
        <v>189</v>
      </c>
      <c r="I55" s="11" t="s">
        <v>189</v>
      </c>
      <c r="J55" s="11" t="s">
        <v>189</v>
      </c>
      <c r="K55" s="11" t="s">
        <v>189</v>
      </c>
      <c r="L55" s="11" t="s">
        <v>189</v>
      </c>
      <c r="M55" s="11" t="s">
        <v>189</v>
      </c>
      <c r="N55" s="11" t="s">
        <v>189</v>
      </c>
      <c r="O55" s="11" t="s">
        <v>190</v>
      </c>
      <c r="P55" s="11" t="s">
        <v>190</v>
      </c>
      <c r="Q55" s="11" t="s">
        <v>189</v>
      </c>
      <c r="R55" s="11" t="s">
        <v>189</v>
      </c>
      <c r="S55" s="11" t="s">
        <v>189</v>
      </c>
      <c r="T55" s="11" t="s">
        <v>189</v>
      </c>
      <c r="U55" s="11" t="s">
        <v>189</v>
      </c>
      <c r="V55" s="11" t="s">
        <v>189</v>
      </c>
      <c r="W55" s="11" t="s">
        <v>189</v>
      </c>
      <c r="X55" s="11" t="s">
        <v>189</v>
      </c>
      <c r="Y55" s="11" t="s">
        <v>189</v>
      </c>
      <c r="Z55" s="11" t="s">
        <v>189</v>
      </c>
      <c r="AA55" s="11" t="s">
        <v>189</v>
      </c>
      <c r="AB55" s="11">
        <f t="shared" si="3"/>
        <v>20</v>
      </c>
      <c r="AC55" s="11">
        <f t="shared" si="4"/>
        <v>4</v>
      </c>
      <c r="AD55" s="56">
        <f t="shared" si="5"/>
        <v>83.333333333333343</v>
      </c>
      <c r="AE55" s="11"/>
    </row>
    <row r="56" spans="1:31" ht="16" x14ac:dyDescent="0.2">
      <c r="A56" s="1">
        <v>2025</v>
      </c>
      <c r="B56" s="55">
        <v>30</v>
      </c>
      <c r="C56" s="11" t="s">
        <v>196</v>
      </c>
      <c r="D56" s="11" t="s">
        <v>189</v>
      </c>
      <c r="E56" s="11" t="s">
        <v>189</v>
      </c>
      <c r="F56" s="11" t="s">
        <v>189</v>
      </c>
      <c r="G56" s="11" t="s">
        <v>189</v>
      </c>
      <c r="H56" s="11" t="s">
        <v>189</v>
      </c>
      <c r="I56" s="11" t="s">
        <v>189</v>
      </c>
      <c r="J56" s="11" t="s">
        <v>189</v>
      </c>
      <c r="K56" s="11" t="s">
        <v>189</v>
      </c>
      <c r="L56" s="11" t="s">
        <v>189</v>
      </c>
      <c r="M56" s="11" t="s">
        <v>189</v>
      </c>
      <c r="N56" s="11" t="s">
        <v>190</v>
      </c>
      <c r="O56" s="11" t="s">
        <v>190</v>
      </c>
      <c r="P56" s="11" t="s">
        <v>190</v>
      </c>
      <c r="Q56" s="11" t="s">
        <v>189</v>
      </c>
      <c r="R56" s="11" t="s">
        <v>189</v>
      </c>
      <c r="S56" s="11" t="s">
        <v>189</v>
      </c>
      <c r="T56" s="11" t="s">
        <v>189</v>
      </c>
      <c r="U56" s="11" t="s">
        <v>189</v>
      </c>
      <c r="V56" s="11" t="s">
        <v>189</v>
      </c>
      <c r="W56" s="11" t="s">
        <v>189</v>
      </c>
      <c r="X56" s="11" t="s">
        <v>189</v>
      </c>
      <c r="Y56" s="11" t="s">
        <v>189</v>
      </c>
      <c r="Z56" s="11" t="s">
        <v>189</v>
      </c>
      <c r="AA56" s="11" t="s">
        <v>189</v>
      </c>
      <c r="AB56" s="11">
        <f t="shared" si="3"/>
        <v>21</v>
      </c>
      <c r="AC56" s="11">
        <f t="shared" si="4"/>
        <v>3</v>
      </c>
      <c r="AD56" s="56">
        <f t="shared" si="5"/>
        <v>87.5</v>
      </c>
      <c r="AE56" s="11"/>
    </row>
    <row r="57" spans="1:31" ht="16" x14ac:dyDescent="0.2">
      <c r="A57" s="1">
        <v>2025</v>
      </c>
      <c r="B57" s="55">
        <v>44</v>
      </c>
      <c r="C57" s="11" t="s">
        <v>196</v>
      </c>
      <c r="D57" s="11" t="s">
        <v>190</v>
      </c>
      <c r="E57" s="11" t="s">
        <v>189</v>
      </c>
      <c r="F57" s="11" t="s">
        <v>189</v>
      </c>
      <c r="G57" s="11" t="s">
        <v>189</v>
      </c>
      <c r="H57" s="11" t="s">
        <v>189</v>
      </c>
      <c r="I57" s="11" t="s">
        <v>190</v>
      </c>
      <c r="J57" s="11" t="s">
        <v>190</v>
      </c>
      <c r="K57" s="11" t="s">
        <v>189</v>
      </c>
      <c r="L57" s="11" t="s">
        <v>189</v>
      </c>
      <c r="M57" s="11" t="s">
        <v>190</v>
      </c>
      <c r="N57" s="11" t="s">
        <v>190</v>
      </c>
      <c r="O57" s="11" t="s">
        <v>190</v>
      </c>
      <c r="P57" s="11" t="s">
        <v>190</v>
      </c>
      <c r="Q57" s="11" t="s">
        <v>190</v>
      </c>
      <c r="R57" s="11" t="s">
        <v>190</v>
      </c>
      <c r="S57" s="11" t="s">
        <v>190</v>
      </c>
      <c r="T57" s="11" t="s">
        <v>190</v>
      </c>
      <c r="U57" s="11" t="s">
        <v>190</v>
      </c>
      <c r="V57" s="11" t="s">
        <v>190</v>
      </c>
      <c r="W57" s="11" t="s">
        <v>190</v>
      </c>
      <c r="X57" s="11" t="s">
        <v>190</v>
      </c>
      <c r="Y57" s="11" t="s">
        <v>190</v>
      </c>
      <c r="Z57" s="11" t="s">
        <v>190</v>
      </c>
      <c r="AA57" s="11" t="s">
        <v>190</v>
      </c>
      <c r="AB57" s="11">
        <f t="shared" si="3"/>
        <v>6</v>
      </c>
      <c r="AC57" s="11">
        <f t="shared" si="4"/>
        <v>18</v>
      </c>
      <c r="AD57" s="56">
        <f t="shared" si="5"/>
        <v>25</v>
      </c>
      <c r="AE57" s="11"/>
    </row>
    <row r="58" spans="1:31" ht="16" x14ac:dyDescent="0.2">
      <c r="A58" s="1">
        <v>2025</v>
      </c>
      <c r="B58" s="55">
        <v>48</v>
      </c>
      <c r="C58" s="11" t="s">
        <v>196</v>
      </c>
      <c r="D58" s="11" t="s">
        <v>189</v>
      </c>
      <c r="E58" s="11" t="s">
        <v>189</v>
      </c>
      <c r="F58" s="11" t="s">
        <v>189</v>
      </c>
      <c r="G58" s="11" t="s">
        <v>189</v>
      </c>
      <c r="H58" s="11" t="s">
        <v>190</v>
      </c>
      <c r="I58" s="11" t="s">
        <v>190</v>
      </c>
      <c r="J58" s="11" t="s">
        <v>190</v>
      </c>
      <c r="K58" s="11" t="s">
        <v>190</v>
      </c>
      <c r="L58" s="11" t="s">
        <v>190</v>
      </c>
      <c r="M58" s="11" t="s">
        <v>190</v>
      </c>
      <c r="N58" s="11" t="s">
        <v>189</v>
      </c>
      <c r="O58" s="11" t="s">
        <v>190</v>
      </c>
      <c r="P58" s="11" t="s">
        <v>189</v>
      </c>
      <c r="Q58" s="11" t="s">
        <v>189</v>
      </c>
      <c r="R58" s="11" t="s">
        <v>189</v>
      </c>
      <c r="S58" s="11" t="s">
        <v>189</v>
      </c>
      <c r="T58" s="11" t="s">
        <v>189</v>
      </c>
      <c r="U58" s="11" t="s">
        <v>189</v>
      </c>
      <c r="V58" s="11" t="s">
        <v>189</v>
      </c>
      <c r="W58" s="11" t="s">
        <v>189</v>
      </c>
      <c r="X58" s="11" t="s">
        <v>189</v>
      </c>
      <c r="Y58" s="11" t="s">
        <v>189</v>
      </c>
      <c r="Z58" s="11" t="s">
        <v>189</v>
      </c>
      <c r="AA58" s="11" t="s">
        <v>189</v>
      </c>
      <c r="AB58" s="11">
        <f t="shared" si="3"/>
        <v>17</v>
      </c>
      <c r="AC58" s="11">
        <f t="shared" si="4"/>
        <v>7</v>
      </c>
      <c r="AD58" s="56">
        <f t="shared" si="5"/>
        <v>70.833333333333343</v>
      </c>
      <c r="AE58" s="11"/>
    </row>
    <row r="59" spans="1:31" ht="16" x14ac:dyDescent="0.2">
      <c r="A59" s="1">
        <v>2025</v>
      </c>
      <c r="B59" s="55">
        <v>61</v>
      </c>
      <c r="C59" s="11" t="s">
        <v>196</v>
      </c>
      <c r="D59" s="11" t="s">
        <v>189</v>
      </c>
      <c r="E59" s="11" t="s">
        <v>189</v>
      </c>
      <c r="F59" s="11" t="s">
        <v>189</v>
      </c>
      <c r="G59" s="11" t="s">
        <v>189</v>
      </c>
      <c r="H59" s="11" t="s">
        <v>189</v>
      </c>
      <c r="I59" s="11" t="s">
        <v>189</v>
      </c>
      <c r="J59" s="11" t="s">
        <v>189</v>
      </c>
      <c r="K59" s="11" t="s">
        <v>189</v>
      </c>
      <c r="L59" s="11" t="s">
        <v>189</v>
      </c>
      <c r="M59" s="11" t="s">
        <v>189</v>
      </c>
      <c r="N59" s="11" t="s">
        <v>189</v>
      </c>
      <c r="O59" s="11" t="s">
        <v>189</v>
      </c>
      <c r="P59" s="11" t="s">
        <v>189</v>
      </c>
      <c r="Q59" s="11" t="s">
        <v>189</v>
      </c>
      <c r="R59" s="11" t="s">
        <v>190</v>
      </c>
      <c r="S59" s="11" t="s">
        <v>189</v>
      </c>
      <c r="T59" s="11" t="s">
        <v>189</v>
      </c>
      <c r="U59" s="11" t="s">
        <v>189</v>
      </c>
      <c r="V59" s="11" t="s">
        <v>189</v>
      </c>
      <c r="W59" s="11" t="s">
        <v>189</v>
      </c>
      <c r="X59" s="11" t="s">
        <v>190</v>
      </c>
      <c r="Y59" s="11" t="s">
        <v>189</v>
      </c>
      <c r="Z59" s="11" t="s">
        <v>189</v>
      </c>
      <c r="AA59" s="11" t="s">
        <v>190</v>
      </c>
      <c r="AB59" s="11">
        <f t="shared" si="3"/>
        <v>21</v>
      </c>
      <c r="AC59" s="11">
        <f t="shared" si="4"/>
        <v>3</v>
      </c>
      <c r="AD59" s="56">
        <f t="shared" si="5"/>
        <v>87.5</v>
      </c>
      <c r="AE59" s="11"/>
    </row>
    <row r="60" spans="1:31" ht="16" x14ac:dyDescent="0.2">
      <c r="A60" s="1">
        <v>2025</v>
      </c>
      <c r="B60" s="55">
        <v>62</v>
      </c>
      <c r="C60" s="11" t="s">
        <v>196</v>
      </c>
      <c r="D60" s="11" t="s">
        <v>189</v>
      </c>
      <c r="E60" s="11" t="s">
        <v>189</v>
      </c>
      <c r="F60" s="11" t="s">
        <v>189</v>
      </c>
      <c r="G60" s="11" t="s">
        <v>190</v>
      </c>
      <c r="H60" s="11" t="s">
        <v>189</v>
      </c>
      <c r="I60" s="11" t="s">
        <v>190</v>
      </c>
      <c r="J60" s="11" t="s">
        <v>189</v>
      </c>
      <c r="K60" s="11" t="s">
        <v>189</v>
      </c>
      <c r="L60" s="11" t="s">
        <v>189</v>
      </c>
      <c r="M60" s="11" t="s">
        <v>190</v>
      </c>
      <c r="N60" s="11" t="s">
        <v>189</v>
      </c>
      <c r="O60" s="11" t="s">
        <v>189</v>
      </c>
      <c r="P60" s="11" t="s">
        <v>189</v>
      </c>
      <c r="Q60" s="11" t="s">
        <v>190</v>
      </c>
      <c r="R60" s="11" t="s">
        <v>189</v>
      </c>
      <c r="S60" s="11" t="s">
        <v>189</v>
      </c>
      <c r="T60" s="11" t="s">
        <v>189</v>
      </c>
      <c r="U60" s="11" t="s">
        <v>189</v>
      </c>
      <c r="V60" s="11" t="s">
        <v>189</v>
      </c>
      <c r="W60" s="11" t="s">
        <v>189</v>
      </c>
      <c r="X60" s="11" t="s">
        <v>189</v>
      </c>
      <c r="Y60" s="11" t="s">
        <v>189</v>
      </c>
      <c r="Z60" s="11" t="s">
        <v>189</v>
      </c>
      <c r="AA60" s="11" t="s">
        <v>189</v>
      </c>
      <c r="AB60" s="11">
        <f t="shared" si="3"/>
        <v>20</v>
      </c>
      <c r="AC60" s="11">
        <f t="shared" si="4"/>
        <v>4</v>
      </c>
      <c r="AD60" s="56">
        <f t="shared" si="5"/>
        <v>83.333333333333343</v>
      </c>
      <c r="AE60" s="11"/>
    </row>
    <row r="61" spans="1:31" ht="16" x14ac:dyDescent="0.2">
      <c r="A61" s="1">
        <v>2025</v>
      </c>
      <c r="B61" s="55">
        <v>71</v>
      </c>
      <c r="C61" s="11" t="s">
        <v>196</v>
      </c>
      <c r="D61" s="11" t="s">
        <v>189</v>
      </c>
      <c r="E61" s="11" t="s">
        <v>189</v>
      </c>
      <c r="F61" s="11" t="s">
        <v>189</v>
      </c>
      <c r="G61" s="11" t="s">
        <v>189</v>
      </c>
      <c r="H61" s="11" t="s">
        <v>190</v>
      </c>
      <c r="I61" s="11" t="s">
        <v>189</v>
      </c>
      <c r="J61" s="11" t="s">
        <v>189</v>
      </c>
      <c r="K61" s="11" t="s">
        <v>189</v>
      </c>
      <c r="L61" s="11" t="s">
        <v>189</v>
      </c>
      <c r="M61" s="11" t="s">
        <v>189</v>
      </c>
      <c r="N61" s="11" t="s">
        <v>189</v>
      </c>
      <c r="O61" s="11" t="s">
        <v>190</v>
      </c>
      <c r="P61" s="11" t="s">
        <v>189</v>
      </c>
      <c r="Q61" s="11" t="s">
        <v>189</v>
      </c>
      <c r="R61" s="11" t="s">
        <v>189</v>
      </c>
      <c r="S61" s="11" t="s">
        <v>189</v>
      </c>
      <c r="T61" s="11" t="s">
        <v>189</v>
      </c>
      <c r="U61" s="11" t="s">
        <v>189</v>
      </c>
      <c r="V61" s="11" t="s">
        <v>189</v>
      </c>
      <c r="W61" s="11" t="s">
        <v>189</v>
      </c>
      <c r="X61" s="11" t="s">
        <v>189</v>
      </c>
      <c r="Y61" s="11" t="s">
        <v>189</v>
      </c>
      <c r="Z61" s="11" t="s">
        <v>189</v>
      </c>
      <c r="AA61" s="11" t="s">
        <v>189</v>
      </c>
      <c r="AB61" s="11">
        <f t="shared" si="3"/>
        <v>22</v>
      </c>
      <c r="AC61" s="11">
        <f t="shared" si="4"/>
        <v>2</v>
      </c>
      <c r="AD61" s="56">
        <f t="shared" si="5"/>
        <v>91.666666666666657</v>
      </c>
      <c r="AE61" s="11"/>
    </row>
    <row r="62" spans="1:31" ht="16" x14ac:dyDescent="0.2">
      <c r="A62" s="1">
        <v>2025</v>
      </c>
      <c r="B62" s="55">
        <v>74</v>
      </c>
      <c r="C62" s="11" t="s">
        <v>196</v>
      </c>
      <c r="D62" s="11" t="s">
        <v>189</v>
      </c>
      <c r="E62" s="11" t="s">
        <v>189</v>
      </c>
      <c r="F62" s="11" t="s">
        <v>189</v>
      </c>
      <c r="G62" s="11" t="s">
        <v>189</v>
      </c>
      <c r="H62" s="11" t="s">
        <v>190</v>
      </c>
      <c r="I62" s="11" t="s">
        <v>189</v>
      </c>
      <c r="J62" s="11" t="s">
        <v>189</v>
      </c>
      <c r="K62" s="11" t="s">
        <v>189</v>
      </c>
      <c r="L62" s="11" t="s">
        <v>189</v>
      </c>
      <c r="M62" s="11" t="s">
        <v>189</v>
      </c>
      <c r="N62" s="11" t="s">
        <v>189</v>
      </c>
      <c r="O62" s="11" t="s">
        <v>189</v>
      </c>
      <c r="P62" s="11" t="s">
        <v>189</v>
      </c>
      <c r="Q62" s="11" t="s">
        <v>189</v>
      </c>
      <c r="R62" s="11" t="s">
        <v>189</v>
      </c>
      <c r="S62" s="11" t="s">
        <v>189</v>
      </c>
      <c r="T62" s="11" t="s">
        <v>189</v>
      </c>
      <c r="U62" s="11" t="s">
        <v>189</v>
      </c>
      <c r="V62" s="11" t="s">
        <v>189</v>
      </c>
      <c r="W62" s="11" t="s">
        <v>189</v>
      </c>
      <c r="X62" s="11" t="s">
        <v>189</v>
      </c>
      <c r="Y62" s="11" t="s">
        <v>189</v>
      </c>
      <c r="Z62" s="11" t="s">
        <v>189</v>
      </c>
      <c r="AA62" s="11" t="s">
        <v>189</v>
      </c>
      <c r="AB62" s="11">
        <f t="shared" si="3"/>
        <v>23</v>
      </c>
      <c r="AC62" s="11">
        <f t="shared" si="4"/>
        <v>1</v>
      </c>
      <c r="AD62" s="56">
        <f t="shared" si="5"/>
        <v>95.833333333333343</v>
      </c>
      <c r="AE62" s="11"/>
    </row>
    <row r="63" spans="1:31" ht="16" x14ac:dyDescent="0.2">
      <c r="A63" s="1">
        <v>2025</v>
      </c>
      <c r="B63" s="55">
        <v>75</v>
      </c>
      <c r="C63" s="11" t="s">
        <v>196</v>
      </c>
      <c r="D63" s="11" t="s">
        <v>189</v>
      </c>
      <c r="E63" s="11" t="s">
        <v>189</v>
      </c>
      <c r="F63" s="11" t="s">
        <v>189</v>
      </c>
      <c r="G63" s="11" t="s">
        <v>189</v>
      </c>
      <c r="H63" s="11" t="s">
        <v>190</v>
      </c>
      <c r="I63" s="11" t="s">
        <v>190</v>
      </c>
      <c r="J63" s="11" t="s">
        <v>189</v>
      </c>
      <c r="K63" s="11" t="s">
        <v>189</v>
      </c>
      <c r="L63" s="11" t="s">
        <v>189</v>
      </c>
      <c r="M63" s="11" t="s">
        <v>189</v>
      </c>
      <c r="N63" s="11" t="s">
        <v>189</v>
      </c>
      <c r="O63" s="11" t="s">
        <v>189</v>
      </c>
      <c r="P63" s="11" t="s">
        <v>189</v>
      </c>
      <c r="Q63" s="11" t="s">
        <v>189</v>
      </c>
      <c r="R63" s="11" t="s">
        <v>189</v>
      </c>
      <c r="S63" s="11" t="s">
        <v>189</v>
      </c>
      <c r="T63" s="11" t="s">
        <v>189</v>
      </c>
      <c r="U63" s="11" t="s">
        <v>189</v>
      </c>
      <c r="V63" s="11" t="s">
        <v>189</v>
      </c>
      <c r="W63" s="11" t="s">
        <v>189</v>
      </c>
      <c r="X63" s="11" t="s">
        <v>189</v>
      </c>
      <c r="Y63" s="11" t="s">
        <v>189</v>
      </c>
      <c r="Z63" s="11" t="s">
        <v>189</v>
      </c>
      <c r="AA63" s="11" t="s">
        <v>189</v>
      </c>
      <c r="AB63" s="11">
        <f t="shared" si="3"/>
        <v>22</v>
      </c>
      <c r="AC63" s="11">
        <f t="shared" si="4"/>
        <v>2</v>
      </c>
      <c r="AD63" s="56">
        <f t="shared" si="5"/>
        <v>91.666666666666657</v>
      </c>
      <c r="AE63" s="11"/>
    </row>
    <row r="64" spans="1:31" ht="16" x14ac:dyDescent="0.2">
      <c r="A64" s="1">
        <v>2025</v>
      </c>
      <c r="B64" s="55">
        <v>76</v>
      </c>
      <c r="C64" s="11" t="s">
        <v>196</v>
      </c>
      <c r="D64" s="11" t="s">
        <v>189</v>
      </c>
      <c r="E64" s="11" t="s">
        <v>189</v>
      </c>
      <c r="F64" s="11" t="s">
        <v>189</v>
      </c>
      <c r="G64" s="11" t="s">
        <v>189</v>
      </c>
      <c r="H64" s="11" t="s">
        <v>189</v>
      </c>
      <c r="I64" s="11" t="s">
        <v>190</v>
      </c>
      <c r="J64" s="11" t="s">
        <v>189</v>
      </c>
      <c r="K64" s="11" t="s">
        <v>189</v>
      </c>
      <c r="L64" s="11" t="s">
        <v>189</v>
      </c>
      <c r="M64" s="11" t="s">
        <v>189</v>
      </c>
      <c r="N64" s="11" t="s">
        <v>189</v>
      </c>
      <c r="O64" s="11" t="s">
        <v>189</v>
      </c>
      <c r="P64" s="11" t="s">
        <v>189</v>
      </c>
      <c r="Q64" s="11" t="s">
        <v>190</v>
      </c>
      <c r="R64" s="11" t="s">
        <v>189</v>
      </c>
      <c r="S64" s="11" t="s">
        <v>189</v>
      </c>
      <c r="T64" s="11" t="s">
        <v>189</v>
      </c>
      <c r="U64" s="11" t="s">
        <v>190</v>
      </c>
      <c r="V64" s="11" t="s">
        <v>189</v>
      </c>
      <c r="W64" s="11" t="s">
        <v>189</v>
      </c>
      <c r="X64" s="11" t="s">
        <v>189</v>
      </c>
      <c r="Y64" s="11" t="s">
        <v>189</v>
      </c>
      <c r="Z64" s="11" t="s">
        <v>189</v>
      </c>
      <c r="AA64" s="11" t="s">
        <v>189</v>
      </c>
      <c r="AB64" s="11">
        <f t="shared" si="3"/>
        <v>21</v>
      </c>
      <c r="AC64" s="11">
        <f t="shared" si="4"/>
        <v>3</v>
      </c>
      <c r="AD64" s="56">
        <f t="shared" si="5"/>
        <v>87.5</v>
      </c>
      <c r="AE64" s="11"/>
    </row>
    <row r="65" spans="1:32" ht="16" x14ac:dyDescent="0.2">
      <c r="A65" s="1">
        <v>2025</v>
      </c>
      <c r="B65" s="55">
        <v>78</v>
      </c>
      <c r="C65" s="11" t="s">
        <v>196</v>
      </c>
      <c r="D65" s="11" t="s">
        <v>189</v>
      </c>
      <c r="E65" s="11" t="s">
        <v>189</v>
      </c>
      <c r="F65" s="11" t="s">
        <v>189</v>
      </c>
      <c r="G65" s="11" t="s">
        <v>189</v>
      </c>
      <c r="H65" s="11" t="s">
        <v>190</v>
      </c>
      <c r="I65" s="11" t="s">
        <v>189</v>
      </c>
      <c r="J65" s="11" t="s">
        <v>189</v>
      </c>
      <c r="K65" s="11" t="s">
        <v>190</v>
      </c>
      <c r="L65" s="11" t="s">
        <v>189</v>
      </c>
      <c r="M65" s="11" t="s">
        <v>189</v>
      </c>
      <c r="N65" s="11" t="s">
        <v>189</v>
      </c>
      <c r="O65" s="11" t="s">
        <v>189</v>
      </c>
      <c r="P65" s="11" t="s">
        <v>189</v>
      </c>
      <c r="Q65" s="11" t="s">
        <v>189</v>
      </c>
      <c r="R65" s="11" t="s">
        <v>190</v>
      </c>
      <c r="S65" s="11" t="s">
        <v>189</v>
      </c>
      <c r="T65" s="11" t="s">
        <v>189</v>
      </c>
      <c r="U65" s="11" t="s">
        <v>190</v>
      </c>
      <c r="V65" s="11" t="s">
        <v>189</v>
      </c>
      <c r="W65" s="11" t="s">
        <v>189</v>
      </c>
      <c r="X65" s="11" t="s">
        <v>190</v>
      </c>
      <c r="Y65" s="11" t="s">
        <v>189</v>
      </c>
      <c r="Z65" s="11" t="s">
        <v>189</v>
      </c>
      <c r="AA65" s="11" t="s">
        <v>189</v>
      </c>
      <c r="AB65" s="11">
        <f t="shared" si="3"/>
        <v>19</v>
      </c>
      <c r="AC65" s="11">
        <f t="shared" si="4"/>
        <v>5</v>
      </c>
      <c r="AD65" s="56">
        <f t="shared" si="5"/>
        <v>79.166666666666657</v>
      </c>
      <c r="AE65" s="11"/>
    </row>
    <row r="66" spans="1:32" ht="16" x14ac:dyDescent="0.2">
      <c r="A66" s="1">
        <v>2025</v>
      </c>
      <c r="B66" s="55">
        <v>79</v>
      </c>
      <c r="C66" s="11" t="s">
        <v>196</v>
      </c>
      <c r="D66" s="11" t="s">
        <v>189</v>
      </c>
      <c r="E66" s="11" t="s">
        <v>189</v>
      </c>
      <c r="F66" s="11" t="s">
        <v>189</v>
      </c>
      <c r="G66" s="11" t="s">
        <v>190</v>
      </c>
      <c r="H66" s="11" t="s">
        <v>190</v>
      </c>
      <c r="I66" s="11" t="s">
        <v>190</v>
      </c>
      <c r="J66" s="11" t="s">
        <v>189</v>
      </c>
      <c r="K66" s="11" t="s">
        <v>189</v>
      </c>
      <c r="L66" s="11" t="s">
        <v>189</v>
      </c>
      <c r="M66" s="11" t="s">
        <v>189</v>
      </c>
      <c r="N66" s="11" t="s">
        <v>190</v>
      </c>
      <c r="O66" s="11" t="s">
        <v>190</v>
      </c>
      <c r="P66" s="11" t="s">
        <v>190</v>
      </c>
      <c r="Q66" s="11" t="s">
        <v>190</v>
      </c>
      <c r="R66" s="11" t="s">
        <v>190</v>
      </c>
      <c r="S66" s="11" t="s">
        <v>190</v>
      </c>
      <c r="T66" s="11" t="s">
        <v>190</v>
      </c>
      <c r="U66" s="11" t="s">
        <v>190</v>
      </c>
      <c r="V66" s="11" t="s">
        <v>190</v>
      </c>
      <c r="W66" s="11" t="s">
        <v>190</v>
      </c>
      <c r="X66" s="11" t="s">
        <v>190</v>
      </c>
      <c r="Y66" s="11" t="s">
        <v>190</v>
      </c>
      <c r="Z66" s="11" t="s">
        <v>190</v>
      </c>
      <c r="AA66" s="11" t="s">
        <v>190</v>
      </c>
      <c r="AB66" s="11">
        <f t="shared" si="3"/>
        <v>7</v>
      </c>
      <c r="AC66" s="11">
        <f t="shared" si="4"/>
        <v>17</v>
      </c>
      <c r="AD66" s="56">
        <f t="shared" si="5"/>
        <v>29.166666666666668</v>
      </c>
      <c r="AE66" s="11"/>
    </row>
    <row r="67" spans="1:32" ht="16" x14ac:dyDescent="0.2">
      <c r="A67" s="1">
        <v>2025</v>
      </c>
      <c r="B67" s="55">
        <v>96</v>
      </c>
      <c r="C67" s="11" t="s">
        <v>196</v>
      </c>
      <c r="D67" s="11" t="s">
        <v>189</v>
      </c>
      <c r="E67" s="11" t="s">
        <v>189</v>
      </c>
      <c r="F67" s="11" t="s">
        <v>189</v>
      </c>
      <c r="G67" s="11" t="s">
        <v>189</v>
      </c>
      <c r="H67" s="11" t="s">
        <v>189</v>
      </c>
      <c r="I67" s="11" t="s">
        <v>189</v>
      </c>
      <c r="J67" s="11" t="s">
        <v>189</v>
      </c>
      <c r="K67" s="11" t="s">
        <v>190</v>
      </c>
      <c r="L67" s="11" t="s">
        <v>190</v>
      </c>
      <c r="M67" s="11" t="s">
        <v>190</v>
      </c>
      <c r="N67" s="11" t="s">
        <v>189</v>
      </c>
      <c r="O67" s="11" t="s">
        <v>189</v>
      </c>
      <c r="P67" s="11" t="s">
        <v>189</v>
      </c>
      <c r="Q67" s="11" t="s">
        <v>189</v>
      </c>
      <c r="R67" s="11" t="s">
        <v>189</v>
      </c>
      <c r="S67" s="11" t="s">
        <v>189</v>
      </c>
      <c r="T67" s="11" t="s">
        <v>189</v>
      </c>
      <c r="U67" s="11" t="s">
        <v>189</v>
      </c>
      <c r="V67" s="11" t="s">
        <v>190</v>
      </c>
      <c r="W67" s="11" t="s">
        <v>190</v>
      </c>
      <c r="X67" s="11" t="s">
        <v>189</v>
      </c>
      <c r="Y67" s="11" t="s">
        <v>189</v>
      </c>
      <c r="Z67" s="11" t="s">
        <v>189</v>
      </c>
      <c r="AA67" s="11" t="s">
        <v>189</v>
      </c>
      <c r="AB67" s="11">
        <f t="shared" si="3"/>
        <v>19</v>
      </c>
      <c r="AC67" s="11">
        <f t="shared" si="4"/>
        <v>5</v>
      </c>
      <c r="AD67" s="56">
        <f t="shared" si="5"/>
        <v>79.166666666666657</v>
      </c>
      <c r="AE67" s="11"/>
    </row>
    <row r="68" spans="1:32" ht="16" x14ac:dyDescent="0.2">
      <c r="A68" s="1">
        <v>2025</v>
      </c>
      <c r="B68" s="55">
        <v>97</v>
      </c>
      <c r="C68" s="11" t="s">
        <v>196</v>
      </c>
      <c r="D68" s="11" t="s">
        <v>189</v>
      </c>
      <c r="E68" s="11" t="s">
        <v>189</v>
      </c>
      <c r="F68" s="11" t="s">
        <v>189</v>
      </c>
      <c r="G68" s="11" t="s">
        <v>189</v>
      </c>
      <c r="H68" s="11" t="s">
        <v>189</v>
      </c>
      <c r="I68" s="11" t="s">
        <v>189</v>
      </c>
      <c r="J68" s="11" t="s">
        <v>189</v>
      </c>
      <c r="K68" s="11" t="s">
        <v>189</v>
      </c>
      <c r="L68" s="11" t="s">
        <v>189</v>
      </c>
      <c r="M68" s="11" t="s">
        <v>189</v>
      </c>
      <c r="N68" s="11" t="s">
        <v>189</v>
      </c>
      <c r="O68" s="11" t="s">
        <v>189</v>
      </c>
      <c r="P68" s="11" t="s">
        <v>189</v>
      </c>
      <c r="Q68" s="11" t="s">
        <v>189</v>
      </c>
      <c r="R68" s="11" t="s">
        <v>189</v>
      </c>
      <c r="S68" s="11" t="s">
        <v>189</v>
      </c>
      <c r="T68" s="11" t="s">
        <v>189</v>
      </c>
      <c r="U68" s="11" t="s">
        <v>189</v>
      </c>
      <c r="V68" s="11" t="s">
        <v>190</v>
      </c>
      <c r="W68" s="11" t="s">
        <v>189</v>
      </c>
      <c r="X68" s="11" t="s">
        <v>189</v>
      </c>
      <c r="Y68" s="11" t="s">
        <v>189</v>
      </c>
      <c r="Z68" s="11" t="s">
        <v>189</v>
      </c>
      <c r="AA68" s="11" t="s">
        <v>189</v>
      </c>
      <c r="AB68" s="11">
        <f t="shared" si="3"/>
        <v>23</v>
      </c>
      <c r="AC68" s="11">
        <f t="shared" si="4"/>
        <v>1</v>
      </c>
      <c r="AD68" s="56">
        <f t="shared" si="5"/>
        <v>95.833333333333343</v>
      </c>
      <c r="AE68" s="11"/>
    </row>
    <row r="69" spans="1:32" ht="16" x14ac:dyDescent="0.2">
      <c r="A69" s="30">
        <v>2025</v>
      </c>
      <c r="B69" s="55">
        <v>29</v>
      </c>
      <c r="C69" s="57" t="s">
        <v>188</v>
      </c>
      <c r="D69" s="58" t="s">
        <v>203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f t="shared" si="3"/>
        <v>0</v>
      </c>
      <c r="AC69" s="11">
        <f t="shared" si="4"/>
        <v>0</v>
      </c>
      <c r="AD69" s="56">
        <f t="shared" si="5"/>
        <v>0</v>
      </c>
      <c r="AE69" s="11"/>
      <c r="AF69" s="30" t="s">
        <v>204</v>
      </c>
    </row>
    <row r="70" spans="1:32" ht="16" x14ac:dyDescent="0.2">
      <c r="A70" s="30">
        <v>2025</v>
      </c>
      <c r="B70" s="55">
        <v>45</v>
      </c>
      <c r="C70" s="57" t="s">
        <v>188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>
        <f t="shared" si="3"/>
        <v>0</v>
      </c>
      <c r="AC70" s="11">
        <f t="shared" si="4"/>
        <v>0</v>
      </c>
      <c r="AD70" s="56">
        <f t="shared" si="5"/>
        <v>0</v>
      </c>
      <c r="AE70" s="11"/>
      <c r="AF70" s="30" t="s">
        <v>204</v>
      </c>
    </row>
    <row r="71" spans="1:32" ht="16" x14ac:dyDescent="0.2">
      <c r="A71" s="33">
        <v>2025</v>
      </c>
      <c r="B71" s="55">
        <v>46</v>
      </c>
      <c r="C71" s="57" t="s">
        <v>188</v>
      </c>
      <c r="D71" s="11" t="s">
        <v>189</v>
      </c>
      <c r="E71" s="11" t="s">
        <v>189</v>
      </c>
      <c r="F71" s="11" t="s">
        <v>189</v>
      </c>
      <c r="G71" s="11" t="s">
        <v>189</v>
      </c>
      <c r="H71" s="11" t="s">
        <v>189</v>
      </c>
      <c r="I71" s="11" t="s">
        <v>189</v>
      </c>
      <c r="J71" s="11" t="s">
        <v>189</v>
      </c>
      <c r="K71" s="11" t="s">
        <v>189</v>
      </c>
      <c r="L71" s="11" t="s">
        <v>189</v>
      </c>
      <c r="M71" s="11" t="s">
        <v>190</v>
      </c>
      <c r="N71" s="11" t="s">
        <v>189</v>
      </c>
      <c r="O71" s="11" t="s">
        <v>189</v>
      </c>
      <c r="P71" s="11" t="s">
        <v>189</v>
      </c>
      <c r="Q71" s="11" t="s">
        <v>189</v>
      </c>
      <c r="R71" s="11" t="s">
        <v>190</v>
      </c>
      <c r="S71" s="11" t="s">
        <v>190</v>
      </c>
      <c r="T71" s="11" t="s">
        <v>189</v>
      </c>
      <c r="U71" s="11" t="s">
        <v>190</v>
      </c>
      <c r="V71" s="11" t="s">
        <v>190</v>
      </c>
      <c r="W71" s="11" t="s">
        <v>190</v>
      </c>
      <c r="X71" s="11" t="s">
        <v>190</v>
      </c>
      <c r="Y71" s="11" t="s">
        <v>189</v>
      </c>
      <c r="Z71" s="11" t="s">
        <v>189</v>
      </c>
      <c r="AA71" s="11" t="s">
        <v>189</v>
      </c>
      <c r="AB71" s="11">
        <f t="shared" si="3"/>
        <v>17</v>
      </c>
      <c r="AC71" s="11">
        <f t="shared" si="4"/>
        <v>7</v>
      </c>
      <c r="AD71" s="56">
        <f t="shared" si="5"/>
        <v>70.833333333333343</v>
      </c>
      <c r="AE71" s="11"/>
      <c r="AF71" s="30"/>
    </row>
    <row r="72" spans="1:32" ht="16" x14ac:dyDescent="0.2">
      <c r="A72" s="30">
        <v>2025</v>
      </c>
      <c r="B72" s="55">
        <v>47</v>
      </c>
      <c r="C72" s="57" t="s">
        <v>188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>
        <f t="shared" si="3"/>
        <v>0</v>
      </c>
      <c r="AC72" s="11">
        <f t="shared" si="4"/>
        <v>0</v>
      </c>
      <c r="AD72" s="56">
        <f t="shared" si="5"/>
        <v>0</v>
      </c>
      <c r="AE72" s="11"/>
      <c r="AF72" s="30" t="s">
        <v>204</v>
      </c>
    </row>
    <row r="73" spans="1:32" ht="16" x14ac:dyDescent="0.2">
      <c r="A73" s="30">
        <v>2025</v>
      </c>
      <c r="B73" s="55">
        <v>63</v>
      </c>
      <c r="C73" s="57" t="s">
        <v>188</v>
      </c>
      <c r="D73" s="11" t="s">
        <v>189</v>
      </c>
      <c r="E73" s="11" t="s">
        <v>189</v>
      </c>
      <c r="F73" s="11" t="s">
        <v>189</v>
      </c>
      <c r="G73" s="11" t="s">
        <v>189</v>
      </c>
      <c r="H73" s="11" t="s">
        <v>189</v>
      </c>
      <c r="I73" s="11" t="s">
        <v>189</v>
      </c>
      <c r="J73" s="11" t="s">
        <v>189</v>
      </c>
      <c r="K73" s="11" t="s">
        <v>189</v>
      </c>
      <c r="L73" s="11" t="s">
        <v>189</v>
      </c>
      <c r="M73" s="11" t="s">
        <v>189</v>
      </c>
      <c r="N73" s="11" t="s">
        <v>189</v>
      </c>
      <c r="O73" s="11" t="s">
        <v>189</v>
      </c>
      <c r="P73" s="11" t="s">
        <v>189</v>
      </c>
      <c r="Q73" s="11" t="s">
        <v>189</v>
      </c>
      <c r="R73" s="11" t="s">
        <v>189</v>
      </c>
      <c r="S73" s="11" t="s">
        <v>189</v>
      </c>
      <c r="T73" s="11" t="s">
        <v>189</v>
      </c>
      <c r="U73" s="11" t="s">
        <v>189</v>
      </c>
      <c r="V73" s="11" t="s">
        <v>189</v>
      </c>
      <c r="W73" s="11" t="s">
        <v>189</v>
      </c>
      <c r="X73" s="11" t="s">
        <v>189</v>
      </c>
      <c r="Y73" s="11" t="s">
        <v>189</v>
      </c>
      <c r="Z73" s="11" t="s">
        <v>190</v>
      </c>
      <c r="AA73" s="11" t="s">
        <v>190</v>
      </c>
      <c r="AB73" s="11">
        <f t="shared" si="3"/>
        <v>22</v>
      </c>
      <c r="AC73" s="11">
        <f t="shared" si="4"/>
        <v>2</v>
      </c>
      <c r="AD73" s="56">
        <f t="shared" si="5"/>
        <v>91.666666666666657</v>
      </c>
      <c r="AE73" s="11"/>
      <c r="AF73" s="30"/>
    </row>
    <row r="74" spans="1:32" ht="16" x14ac:dyDescent="0.2">
      <c r="A74" s="30">
        <v>2025</v>
      </c>
      <c r="B74" s="55">
        <v>72</v>
      </c>
      <c r="C74" s="57" t="s">
        <v>188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>
        <f t="shared" si="3"/>
        <v>0</v>
      </c>
      <c r="AC74" s="11">
        <f t="shared" si="4"/>
        <v>0</v>
      </c>
      <c r="AD74" s="56">
        <f t="shared" si="5"/>
        <v>0</v>
      </c>
      <c r="AE74" s="11"/>
      <c r="AF74" s="30" t="s">
        <v>204</v>
      </c>
    </row>
    <row r="75" spans="1:32" ht="16" x14ac:dyDescent="0.2">
      <c r="A75" s="30">
        <v>2025</v>
      </c>
      <c r="B75" s="55">
        <v>73</v>
      </c>
      <c r="C75" s="57" t="s">
        <v>188</v>
      </c>
      <c r="D75" s="11" t="s">
        <v>189</v>
      </c>
      <c r="E75" s="11" t="s">
        <v>189</v>
      </c>
      <c r="F75" s="11" t="s">
        <v>189</v>
      </c>
      <c r="G75" s="11" t="s">
        <v>189</v>
      </c>
      <c r="H75" s="11" t="s">
        <v>189</v>
      </c>
      <c r="I75" s="11" t="s">
        <v>189</v>
      </c>
      <c r="J75" s="11" t="s">
        <v>189</v>
      </c>
      <c r="K75" s="11" t="s">
        <v>189</v>
      </c>
      <c r="L75" s="11" t="s">
        <v>189</v>
      </c>
      <c r="M75" s="11" t="s">
        <v>189</v>
      </c>
      <c r="N75" s="11" t="s">
        <v>189</v>
      </c>
      <c r="O75" s="11" t="s">
        <v>189</v>
      </c>
      <c r="P75" s="11" t="s">
        <v>190</v>
      </c>
      <c r="Q75" s="11" t="s">
        <v>189</v>
      </c>
      <c r="R75" s="11" t="s">
        <v>189</v>
      </c>
      <c r="S75" s="11" t="s">
        <v>189</v>
      </c>
      <c r="T75" s="11" t="s">
        <v>189</v>
      </c>
      <c r="U75" s="11" t="s">
        <v>189</v>
      </c>
      <c r="V75" s="11" t="s">
        <v>189</v>
      </c>
      <c r="W75" s="11" t="s">
        <v>189</v>
      </c>
      <c r="X75" s="11" t="s">
        <v>189</v>
      </c>
      <c r="Y75" s="11" t="s">
        <v>189</v>
      </c>
      <c r="Z75" s="11" t="s">
        <v>189</v>
      </c>
      <c r="AA75" s="11" t="s">
        <v>189</v>
      </c>
      <c r="AB75" s="11">
        <f t="shared" si="3"/>
        <v>23</v>
      </c>
      <c r="AC75" s="11">
        <f t="shared" si="4"/>
        <v>1</v>
      </c>
      <c r="AD75" s="56">
        <f t="shared" si="5"/>
        <v>95.833333333333343</v>
      </c>
      <c r="AE75" s="11"/>
      <c r="AF75" s="30"/>
    </row>
    <row r="76" spans="1:32" ht="16" x14ac:dyDescent="0.2">
      <c r="A76" s="30">
        <v>2025</v>
      </c>
      <c r="B76" s="55">
        <v>77</v>
      </c>
      <c r="C76" s="57" t="s">
        <v>188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>
        <f t="shared" si="3"/>
        <v>0</v>
      </c>
      <c r="AC76" s="11">
        <f t="shared" si="4"/>
        <v>0</v>
      </c>
      <c r="AD76" s="56">
        <f t="shared" si="5"/>
        <v>0</v>
      </c>
      <c r="AE76" s="11"/>
      <c r="AF76" s="30" t="s">
        <v>204</v>
      </c>
    </row>
    <row r="77" spans="1:32" ht="16" x14ac:dyDescent="0.2">
      <c r="A77" s="30">
        <v>2025</v>
      </c>
      <c r="B77" s="55">
        <v>80</v>
      </c>
      <c r="C77" s="57" t="s">
        <v>188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>
        <f t="shared" si="3"/>
        <v>0</v>
      </c>
      <c r="AC77" s="11">
        <f t="shared" si="4"/>
        <v>0</v>
      </c>
      <c r="AD77" s="56">
        <f t="shared" si="5"/>
        <v>0</v>
      </c>
      <c r="AE77" s="11"/>
      <c r="AF77" s="30" t="s">
        <v>204</v>
      </c>
    </row>
    <row r="78" spans="1:32" ht="16" x14ac:dyDescent="0.2">
      <c r="A78" s="30">
        <v>2025</v>
      </c>
      <c r="B78" s="55">
        <v>98</v>
      </c>
      <c r="C78" s="57" t="s">
        <v>188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>
        <f t="shared" si="3"/>
        <v>0</v>
      </c>
      <c r="AC78" s="11">
        <f t="shared" si="4"/>
        <v>0</v>
      </c>
      <c r="AD78" s="56">
        <f t="shared" si="5"/>
        <v>0</v>
      </c>
      <c r="AE78" s="11"/>
      <c r="AF78" s="30" t="s">
        <v>204</v>
      </c>
    </row>
    <row r="79" spans="1:32" ht="16" x14ac:dyDescent="0.2">
      <c r="A79" s="30">
        <v>2025</v>
      </c>
      <c r="B79" s="55">
        <v>99</v>
      </c>
      <c r="C79" s="57" t="s">
        <v>188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>
        <f t="shared" si="3"/>
        <v>0</v>
      </c>
      <c r="AC79" s="11">
        <f t="shared" si="4"/>
        <v>0</v>
      </c>
      <c r="AD79" s="56">
        <f t="shared" si="5"/>
        <v>0</v>
      </c>
      <c r="AE79" s="11"/>
      <c r="AF79" s="30" t="s">
        <v>204</v>
      </c>
    </row>
    <row r="81" spans="28:33" x14ac:dyDescent="0.2">
      <c r="AC81" s="1" t="s">
        <v>199</v>
      </c>
      <c r="AD81" s="1" t="s">
        <v>200</v>
      </c>
    </row>
    <row r="82" spans="28:33" x14ac:dyDescent="0.2">
      <c r="AB82" s="1">
        <v>2025</v>
      </c>
      <c r="AC82" s="1" t="s">
        <v>201</v>
      </c>
      <c r="AD82" s="28">
        <f>AVERAGE(AD54:AD79)</f>
        <v>55.288461538461533</v>
      </c>
      <c r="AE82" s="1" t="s">
        <v>202</v>
      </c>
      <c r="AF82" s="30" t="s">
        <v>205</v>
      </c>
      <c r="AG82" s="1" t="s">
        <v>206</v>
      </c>
    </row>
    <row r="83" spans="28:33" x14ac:dyDescent="0.2">
      <c r="AB83" s="1">
        <v>2025</v>
      </c>
      <c r="AC83" s="1" t="s">
        <v>103</v>
      </c>
      <c r="AD83" s="28">
        <f>AVERAGE(AD54:AD68)</f>
        <v>78.6111111111111</v>
      </c>
      <c r="AE83" s="1" t="s">
        <v>202</v>
      </c>
      <c r="AG83" s="1" t="s">
        <v>206</v>
      </c>
    </row>
    <row r="84" spans="28:33" x14ac:dyDescent="0.2">
      <c r="AB84" s="1">
        <v>2025</v>
      </c>
      <c r="AC84" s="1" t="s">
        <v>111</v>
      </c>
      <c r="AD84" s="28">
        <f>AVERAGE(AD69:AD79)</f>
        <v>23.484848484848488</v>
      </c>
      <c r="AE84" s="1" t="s">
        <v>202</v>
      </c>
      <c r="AF84" s="30" t="s">
        <v>205</v>
      </c>
      <c r="AG84" s="1" t="s">
        <v>206</v>
      </c>
    </row>
    <row r="87" spans="28:33" x14ac:dyDescent="0.2">
      <c r="AB87" s="1" t="s">
        <v>207</v>
      </c>
      <c r="AC87" s="1" t="s">
        <v>201</v>
      </c>
      <c r="AD87" s="28">
        <f>AVERAGE(AD3:AD47,AD54:AD79)</f>
        <v>65.079365079365076</v>
      </c>
      <c r="AE87" s="1" t="s">
        <v>202</v>
      </c>
      <c r="AF87" s="30" t="s">
        <v>205</v>
      </c>
      <c r="AG87" s="1" t="s">
        <v>206</v>
      </c>
    </row>
    <row r="88" spans="28:33" x14ac:dyDescent="0.2">
      <c r="AB88" s="1" t="s">
        <v>207</v>
      </c>
      <c r="AC88" s="1" t="s">
        <v>103</v>
      </c>
      <c r="AD88" s="28">
        <f>AVERAGE(AD27:AD47,AD54:AD68)</f>
        <v>71.309523809523782</v>
      </c>
      <c r="AE88" s="1" t="s">
        <v>202</v>
      </c>
      <c r="AG88" s="1" t="s">
        <v>206</v>
      </c>
    </row>
    <row r="89" spans="28:33" x14ac:dyDescent="0.2">
      <c r="AB89" s="1" t="s">
        <v>207</v>
      </c>
      <c r="AC89" s="1" t="s">
        <v>111</v>
      </c>
      <c r="AD89" s="28">
        <f>AVERAGE(AD3:AD26,AD69:AD79)</f>
        <v>57.291666666666664</v>
      </c>
      <c r="AE89" s="1" t="s">
        <v>202</v>
      </c>
      <c r="AF89" s="30" t="s">
        <v>205</v>
      </c>
      <c r="AG89" s="1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66D5-57E3-0043-9DBD-85964B72E639}">
  <dimension ref="A1:Q57"/>
  <sheetViews>
    <sheetView topLeftCell="A14" zoomScaleNormal="100" workbookViewId="0">
      <selection activeCell="B40" sqref="B40"/>
    </sheetView>
  </sheetViews>
  <sheetFormatPr baseColWidth="10" defaultRowHeight="16" x14ac:dyDescent="0.2"/>
  <cols>
    <col min="7" max="7" width="26.33203125" customWidth="1"/>
  </cols>
  <sheetData>
    <row r="1" spans="1:17" x14ac:dyDescent="0.2">
      <c r="A1" s="79" t="s">
        <v>209</v>
      </c>
      <c r="B1" s="79" t="s">
        <v>55</v>
      </c>
      <c r="C1" s="79" t="s">
        <v>86</v>
      </c>
      <c r="D1" s="79" t="s">
        <v>252</v>
      </c>
      <c r="E1" s="79" t="s">
        <v>253</v>
      </c>
      <c r="F1" s="79" t="s">
        <v>254</v>
      </c>
      <c r="G1" s="79" t="s">
        <v>152</v>
      </c>
      <c r="P1" t="s">
        <v>264</v>
      </c>
      <c r="Q1" t="s">
        <v>208</v>
      </c>
    </row>
    <row r="2" spans="1:17" x14ac:dyDescent="0.2">
      <c r="A2">
        <v>2024</v>
      </c>
      <c r="B2" t="s">
        <v>38</v>
      </c>
      <c r="C2" t="s">
        <v>111</v>
      </c>
      <c r="D2">
        <v>24</v>
      </c>
      <c r="E2">
        <v>0</v>
      </c>
      <c r="F2">
        <v>100</v>
      </c>
      <c r="Q2">
        <v>100</v>
      </c>
    </row>
    <row r="3" spans="1:17" x14ac:dyDescent="0.2">
      <c r="A3">
        <v>2024</v>
      </c>
      <c r="B3" t="s">
        <v>37</v>
      </c>
      <c r="C3" t="s">
        <v>257</v>
      </c>
      <c r="D3">
        <v>12</v>
      </c>
      <c r="E3">
        <v>12</v>
      </c>
      <c r="F3">
        <v>50</v>
      </c>
      <c r="Q3">
        <v>83</v>
      </c>
    </row>
    <row r="4" spans="1:17" x14ac:dyDescent="0.2">
      <c r="A4">
        <v>2024</v>
      </c>
      <c r="B4" t="s">
        <v>36</v>
      </c>
      <c r="C4" t="s">
        <v>111</v>
      </c>
      <c r="D4">
        <v>24</v>
      </c>
      <c r="E4">
        <v>0</v>
      </c>
      <c r="F4">
        <v>100</v>
      </c>
      <c r="Q4">
        <v>75</v>
      </c>
    </row>
    <row r="5" spans="1:17" x14ac:dyDescent="0.2">
      <c r="A5">
        <v>2024</v>
      </c>
      <c r="B5">
        <v>16</v>
      </c>
      <c r="C5" t="s">
        <v>111</v>
      </c>
      <c r="D5">
        <v>20</v>
      </c>
      <c r="E5">
        <v>4</v>
      </c>
      <c r="F5">
        <v>83</v>
      </c>
      <c r="Q5">
        <v>75</v>
      </c>
    </row>
    <row r="6" spans="1:17" x14ac:dyDescent="0.2">
      <c r="A6">
        <v>2024</v>
      </c>
      <c r="B6" s="1" t="s">
        <v>34</v>
      </c>
      <c r="C6" s="1" t="s">
        <v>111</v>
      </c>
      <c r="D6">
        <v>18</v>
      </c>
      <c r="E6">
        <v>6</v>
      </c>
      <c r="F6">
        <v>75</v>
      </c>
      <c r="Q6">
        <v>95.8333333333333</v>
      </c>
    </row>
    <row r="7" spans="1:17" x14ac:dyDescent="0.2">
      <c r="A7">
        <v>2024</v>
      </c>
      <c r="B7" t="s">
        <v>33</v>
      </c>
      <c r="C7" t="s">
        <v>257</v>
      </c>
      <c r="D7">
        <v>23</v>
      </c>
      <c r="E7">
        <v>1</v>
      </c>
      <c r="F7">
        <v>95.833333333333343</v>
      </c>
      <c r="Q7">
        <v>91.6666666666667</v>
      </c>
    </row>
    <row r="8" spans="1:17" x14ac:dyDescent="0.2">
      <c r="A8">
        <v>2024</v>
      </c>
      <c r="B8" t="s">
        <v>32</v>
      </c>
      <c r="C8" t="s">
        <v>257</v>
      </c>
      <c r="D8">
        <v>15</v>
      </c>
      <c r="E8">
        <v>9</v>
      </c>
      <c r="F8">
        <v>62.5</v>
      </c>
      <c r="Q8">
        <v>79.1666666666667</v>
      </c>
    </row>
    <row r="9" spans="1:17" x14ac:dyDescent="0.2">
      <c r="A9">
        <v>2024</v>
      </c>
      <c r="B9" t="s">
        <v>31</v>
      </c>
      <c r="C9" t="s">
        <v>257</v>
      </c>
      <c r="D9">
        <v>15</v>
      </c>
      <c r="E9">
        <v>9</v>
      </c>
      <c r="F9">
        <v>62.5</v>
      </c>
      <c r="Q9">
        <v>37.5</v>
      </c>
    </row>
    <row r="10" spans="1:17" x14ac:dyDescent="0.2">
      <c r="A10">
        <v>2024</v>
      </c>
      <c r="B10" s="61" t="s">
        <v>30</v>
      </c>
      <c r="C10" s="1" t="s">
        <v>111</v>
      </c>
      <c r="D10">
        <v>18</v>
      </c>
      <c r="E10">
        <v>6</v>
      </c>
      <c r="F10">
        <v>75</v>
      </c>
      <c r="Q10">
        <v>87.5</v>
      </c>
    </row>
    <row r="11" spans="1:17" x14ac:dyDescent="0.2">
      <c r="A11">
        <v>2024</v>
      </c>
      <c r="B11" s="1" t="s">
        <v>29</v>
      </c>
      <c r="C11" s="1" t="s">
        <v>111</v>
      </c>
      <c r="D11">
        <v>22</v>
      </c>
      <c r="E11">
        <v>2</v>
      </c>
      <c r="F11">
        <v>91.6666666666667</v>
      </c>
      <c r="Q11">
        <v>54.1666666666667</v>
      </c>
    </row>
    <row r="12" spans="1:17" x14ac:dyDescent="0.2">
      <c r="A12">
        <v>2024</v>
      </c>
      <c r="B12" s="1" t="s">
        <v>28</v>
      </c>
      <c r="C12" s="1" t="s">
        <v>111</v>
      </c>
      <c r="D12">
        <v>23</v>
      </c>
      <c r="E12">
        <v>1</v>
      </c>
      <c r="F12">
        <v>95.833333333333343</v>
      </c>
      <c r="Q12">
        <v>75</v>
      </c>
    </row>
    <row r="13" spans="1:17" x14ac:dyDescent="0.2">
      <c r="A13">
        <v>2024</v>
      </c>
      <c r="B13" t="s">
        <v>27</v>
      </c>
      <c r="C13" t="s">
        <v>257</v>
      </c>
      <c r="D13">
        <v>23</v>
      </c>
      <c r="E13">
        <v>1</v>
      </c>
      <c r="F13">
        <v>95.8333333333333</v>
      </c>
      <c r="Q13">
        <v>45.8333333333333</v>
      </c>
    </row>
    <row r="14" spans="1:17" x14ac:dyDescent="0.2">
      <c r="A14">
        <v>2024</v>
      </c>
      <c r="B14" s="1" t="s">
        <v>26</v>
      </c>
      <c r="C14" s="1" t="s">
        <v>111</v>
      </c>
      <c r="D14">
        <v>19</v>
      </c>
      <c r="E14">
        <v>5</v>
      </c>
      <c r="F14">
        <v>79.1666666666667</v>
      </c>
      <c r="Q14">
        <v>100</v>
      </c>
    </row>
    <row r="15" spans="1:17" x14ac:dyDescent="0.2">
      <c r="A15">
        <v>2024</v>
      </c>
      <c r="B15" t="s">
        <v>24</v>
      </c>
      <c r="C15" t="s">
        <v>257</v>
      </c>
      <c r="D15">
        <v>24</v>
      </c>
      <c r="E15">
        <v>0</v>
      </c>
      <c r="F15">
        <v>100</v>
      </c>
      <c r="Q15">
        <v>62.5</v>
      </c>
    </row>
    <row r="16" spans="1:17" x14ac:dyDescent="0.2">
      <c r="A16">
        <v>2024</v>
      </c>
      <c r="B16" t="s">
        <v>23</v>
      </c>
      <c r="C16" t="s">
        <v>257</v>
      </c>
      <c r="D16">
        <v>24</v>
      </c>
      <c r="E16">
        <v>0</v>
      </c>
      <c r="F16">
        <v>100</v>
      </c>
      <c r="Q16">
        <v>100</v>
      </c>
    </row>
    <row r="17" spans="1:17" x14ac:dyDescent="0.2">
      <c r="A17">
        <v>2024</v>
      </c>
      <c r="B17" t="s">
        <v>22</v>
      </c>
      <c r="C17" t="s">
        <v>257</v>
      </c>
      <c r="D17">
        <v>20</v>
      </c>
      <c r="E17">
        <v>4</v>
      </c>
      <c r="F17">
        <v>83.333333333333343</v>
      </c>
      <c r="Q17">
        <v>87.5</v>
      </c>
    </row>
    <row r="18" spans="1:17" x14ac:dyDescent="0.2">
      <c r="A18">
        <v>2024</v>
      </c>
      <c r="B18" s="1" t="s">
        <v>21</v>
      </c>
      <c r="C18" s="1" t="s">
        <v>111</v>
      </c>
      <c r="D18">
        <v>9</v>
      </c>
      <c r="E18">
        <v>10</v>
      </c>
      <c r="F18">
        <v>37.5</v>
      </c>
      <c r="G18" s="115" t="s">
        <v>255</v>
      </c>
      <c r="Q18">
        <v>79.1666666666667</v>
      </c>
    </row>
    <row r="19" spans="1:17" x14ac:dyDescent="0.2">
      <c r="A19">
        <v>2024</v>
      </c>
      <c r="B19" s="1" t="s">
        <v>19</v>
      </c>
      <c r="C19" s="1" t="s">
        <v>111</v>
      </c>
      <c r="D19">
        <v>21</v>
      </c>
      <c r="E19">
        <v>3</v>
      </c>
      <c r="F19">
        <v>87.5</v>
      </c>
      <c r="Q19">
        <v>70.8333333333333</v>
      </c>
    </row>
    <row r="20" spans="1:17" x14ac:dyDescent="0.2">
      <c r="A20">
        <v>2024</v>
      </c>
      <c r="B20" s="1" t="s">
        <v>18</v>
      </c>
      <c r="C20" s="1" t="s">
        <v>111</v>
      </c>
      <c r="D20">
        <v>13</v>
      </c>
      <c r="E20">
        <v>11</v>
      </c>
      <c r="F20">
        <v>54.1666666666667</v>
      </c>
      <c r="Q20">
        <v>91.6666666666667</v>
      </c>
    </row>
    <row r="21" spans="1:17" x14ac:dyDescent="0.2">
      <c r="A21">
        <v>2024</v>
      </c>
      <c r="B21" s="1" t="s">
        <v>17</v>
      </c>
      <c r="C21" s="1" t="s">
        <v>111</v>
      </c>
      <c r="D21">
        <v>18</v>
      </c>
      <c r="E21">
        <v>6</v>
      </c>
      <c r="F21">
        <v>75</v>
      </c>
      <c r="Q21">
        <v>95.8333333333333</v>
      </c>
    </row>
    <row r="22" spans="1:17" x14ac:dyDescent="0.2">
      <c r="A22">
        <v>2024</v>
      </c>
      <c r="B22" t="s">
        <v>16</v>
      </c>
      <c r="C22" t="s">
        <v>257</v>
      </c>
      <c r="D22">
        <v>16</v>
      </c>
      <c r="E22">
        <v>8</v>
      </c>
      <c r="F22">
        <v>66.666666666666657</v>
      </c>
      <c r="Q22">
        <v>100</v>
      </c>
    </row>
    <row r="23" spans="1:17" x14ac:dyDescent="0.2">
      <c r="A23">
        <v>2024</v>
      </c>
      <c r="B23" t="s">
        <v>14</v>
      </c>
      <c r="C23" t="s">
        <v>257</v>
      </c>
      <c r="D23">
        <v>20</v>
      </c>
      <c r="E23">
        <v>3</v>
      </c>
      <c r="F23">
        <v>83.333333333333343</v>
      </c>
      <c r="G23" s="115" t="s">
        <v>198</v>
      </c>
      <c r="Q23">
        <f>AVERAGE(Q2:Q22)</f>
        <v>80.341269841269849</v>
      </c>
    </row>
    <row r="24" spans="1:17" x14ac:dyDescent="0.2">
      <c r="A24">
        <v>2024</v>
      </c>
      <c r="B24" s="107" t="s">
        <v>13</v>
      </c>
      <c r="C24" t="s">
        <v>111</v>
      </c>
      <c r="D24">
        <v>11</v>
      </c>
      <c r="E24">
        <v>7</v>
      </c>
      <c r="F24">
        <v>45.8333333333333</v>
      </c>
      <c r="G24" t="s">
        <v>256</v>
      </c>
    </row>
    <row r="25" spans="1:17" x14ac:dyDescent="0.2">
      <c r="A25">
        <v>2024</v>
      </c>
      <c r="B25" t="s">
        <v>12</v>
      </c>
      <c r="C25" t="s">
        <v>257</v>
      </c>
      <c r="D25">
        <v>16</v>
      </c>
      <c r="E25">
        <v>8</v>
      </c>
      <c r="F25">
        <v>66.666666666666657</v>
      </c>
    </row>
    <row r="26" spans="1:17" x14ac:dyDescent="0.2">
      <c r="A26">
        <v>2024</v>
      </c>
      <c r="B26" t="s">
        <v>11</v>
      </c>
      <c r="C26" t="s">
        <v>257</v>
      </c>
      <c r="D26">
        <v>18</v>
      </c>
      <c r="E26">
        <v>6</v>
      </c>
      <c r="F26">
        <v>75</v>
      </c>
    </row>
    <row r="27" spans="1:17" x14ac:dyDescent="0.2">
      <c r="A27">
        <v>2024</v>
      </c>
      <c r="B27" t="s">
        <v>10</v>
      </c>
      <c r="C27" t="s">
        <v>111</v>
      </c>
      <c r="D27">
        <v>24</v>
      </c>
      <c r="E27">
        <v>0</v>
      </c>
      <c r="F27">
        <v>100</v>
      </c>
    </row>
    <row r="28" spans="1:17" x14ac:dyDescent="0.2">
      <c r="A28">
        <v>2024</v>
      </c>
      <c r="B28" t="s">
        <v>9</v>
      </c>
      <c r="C28" t="s">
        <v>257</v>
      </c>
      <c r="D28">
        <v>18</v>
      </c>
      <c r="E28">
        <v>6</v>
      </c>
      <c r="F28">
        <v>75</v>
      </c>
    </row>
    <row r="29" spans="1:17" x14ac:dyDescent="0.2">
      <c r="A29">
        <v>2024</v>
      </c>
      <c r="B29" t="s">
        <v>8</v>
      </c>
      <c r="C29" t="s">
        <v>111</v>
      </c>
      <c r="D29">
        <v>15</v>
      </c>
      <c r="E29">
        <v>9</v>
      </c>
      <c r="F29">
        <v>62.5</v>
      </c>
    </row>
    <row r="30" spans="1:17" x14ac:dyDescent="0.2">
      <c r="A30">
        <v>2024</v>
      </c>
      <c r="B30" t="s">
        <v>7</v>
      </c>
      <c r="C30" t="s">
        <v>111</v>
      </c>
      <c r="D30">
        <v>24</v>
      </c>
      <c r="E30">
        <v>0</v>
      </c>
      <c r="F30">
        <v>100</v>
      </c>
    </row>
    <row r="31" spans="1:17" x14ac:dyDescent="0.2">
      <c r="A31">
        <v>2024</v>
      </c>
      <c r="B31" t="s">
        <v>6</v>
      </c>
      <c r="C31" t="s">
        <v>257</v>
      </c>
      <c r="D31">
        <v>5</v>
      </c>
      <c r="E31">
        <v>19</v>
      </c>
      <c r="F31">
        <v>20.833333333333336</v>
      </c>
    </row>
    <row r="32" spans="1:17" x14ac:dyDescent="0.2">
      <c r="A32">
        <v>2024</v>
      </c>
      <c r="B32" t="s">
        <v>5</v>
      </c>
      <c r="C32" t="s">
        <v>111</v>
      </c>
      <c r="D32">
        <v>21</v>
      </c>
      <c r="E32">
        <v>3</v>
      </c>
      <c r="F32">
        <v>87.5</v>
      </c>
    </row>
    <row r="33" spans="1:8" x14ac:dyDescent="0.2">
      <c r="A33">
        <v>2024</v>
      </c>
      <c r="B33" t="s">
        <v>4</v>
      </c>
      <c r="C33" t="s">
        <v>111</v>
      </c>
      <c r="D33">
        <v>19</v>
      </c>
      <c r="E33">
        <v>5</v>
      </c>
      <c r="F33">
        <v>79.1666666666667</v>
      </c>
    </row>
    <row r="34" spans="1:8" x14ac:dyDescent="0.2">
      <c r="A34">
        <v>2024</v>
      </c>
      <c r="B34" t="s">
        <v>3</v>
      </c>
      <c r="C34" t="s">
        <v>257</v>
      </c>
      <c r="D34">
        <v>13</v>
      </c>
      <c r="E34">
        <v>11</v>
      </c>
      <c r="F34">
        <v>54.166666666666664</v>
      </c>
    </row>
    <row r="35" spans="1:8" ht="17" thickBot="1" x14ac:dyDescent="0.25">
      <c r="A35" s="80">
        <v>2024</v>
      </c>
      <c r="B35" s="80" t="s">
        <v>2</v>
      </c>
      <c r="C35" s="80" t="s">
        <v>257</v>
      </c>
      <c r="D35" s="80">
        <v>19</v>
      </c>
      <c r="E35" s="80">
        <v>5</v>
      </c>
      <c r="F35" s="80">
        <v>79.166666666666657</v>
      </c>
      <c r="G35" s="80"/>
    </row>
    <row r="36" spans="1:8" x14ac:dyDescent="0.2">
      <c r="A36">
        <v>2025</v>
      </c>
      <c r="B36" s="108">
        <v>27</v>
      </c>
      <c r="C36" t="s">
        <v>257</v>
      </c>
      <c r="D36">
        <v>22</v>
      </c>
      <c r="E36">
        <v>2</v>
      </c>
      <c r="F36">
        <v>91.666666666666657</v>
      </c>
    </row>
    <row r="37" spans="1:8" x14ac:dyDescent="0.2">
      <c r="A37">
        <v>2025</v>
      </c>
      <c r="B37" s="108">
        <v>28</v>
      </c>
      <c r="C37" t="s">
        <v>257</v>
      </c>
      <c r="D37">
        <v>20</v>
      </c>
      <c r="E37">
        <v>4</v>
      </c>
      <c r="F37">
        <v>83.333333333333343</v>
      </c>
    </row>
    <row r="38" spans="1:8" x14ac:dyDescent="0.2">
      <c r="A38">
        <v>2025</v>
      </c>
      <c r="B38" s="108">
        <v>30</v>
      </c>
      <c r="C38" t="s">
        <v>257</v>
      </c>
      <c r="D38">
        <v>21</v>
      </c>
      <c r="E38">
        <v>3</v>
      </c>
      <c r="F38">
        <v>87.5</v>
      </c>
      <c r="H38" s="116" t="s">
        <v>261</v>
      </c>
    </row>
    <row r="39" spans="1:8" x14ac:dyDescent="0.2">
      <c r="A39">
        <v>2025</v>
      </c>
      <c r="B39" s="108">
        <v>44</v>
      </c>
      <c r="C39" t="s">
        <v>257</v>
      </c>
      <c r="D39">
        <v>6</v>
      </c>
      <c r="E39">
        <v>18</v>
      </c>
      <c r="F39">
        <v>25</v>
      </c>
    </row>
    <row r="40" spans="1:8" x14ac:dyDescent="0.2">
      <c r="A40">
        <v>2025</v>
      </c>
      <c r="B40" s="108">
        <v>46</v>
      </c>
      <c r="C40" t="s">
        <v>111</v>
      </c>
      <c r="D40">
        <v>17</v>
      </c>
      <c r="E40">
        <v>7</v>
      </c>
      <c r="F40">
        <v>70.8333333333333</v>
      </c>
    </row>
    <row r="41" spans="1:8" x14ac:dyDescent="0.2">
      <c r="A41">
        <v>2025</v>
      </c>
      <c r="B41" s="108">
        <v>48</v>
      </c>
      <c r="C41" t="s">
        <v>257</v>
      </c>
      <c r="D41">
        <v>17</v>
      </c>
      <c r="E41">
        <v>7</v>
      </c>
      <c r="F41">
        <v>70.833333333333343</v>
      </c>
    </row>
    <row r="42" spans="1:8" x14ac:dyDescent="0.2">
      <c r="A42">
        <v>2025</v>
      </c>
      <c r="B42" s="108">
        <v>61</v>
      </c>
      <c r="C42" t="s">
        <v>257</v>
      </c>
      <c r="D42">
        <v>21</v>
      </c>
      <c r="E42">
        <v>3</v>
      </c>
      <c r="F42">
        <v>87.5</v>
      </c>
    </row>
    <row r="43" spans="1:8" x14ac:dyDescent="0.2">
      <c r="A43">
        <v>2025</v>
      </c>
      <c r="B43" s="108">
        <v>62</v>
      </c>
      <c r="C43" t="s">
        <v>257</v>
      </c>
      <c r="D43">
        <v>20</v>
      </c>
      <c r="E43">
        <v>4</v>
      </c>
      <c r="F43">
        <v>83.333333333333343</v>
      </c>
    </row>
    <row r="44" spans="1:8" x14ac:dyDescent="0.2">
      <c r="A44">
        <v>2025</v>
      </c>
      <c r="B44" s="108">
        <v>63</v>
      </c>
      <c r="C44" t="s">
        <v>111</v>
      </c>
      <c r="D44">
        <v>22</v>
      </c>
      <c r="E44">
        <v>2</v>
      </c>
      <c r="F44">
        <v>91.6666666666667</v>
      </c>
    </row>
    <row r="45" spans="1:8" x14ac:dyDescent="0.2">
      <c r="A45">
        <v>2025</v>
      </c>
      <c r="B45" s="108">
        <v>71</v>
      </c>
      <c r="C45" t="s">
        <v>257</v>
      </c>
      <c r="D45">
        <v>22</v>
      </c>
      <c r="E45">
        <v>2</v>
      </c>
      <c r="F45">
        <v>91.666666666666657</v>
      </c>
    </row>
    <row r="46" spans="1:8" x14ac:dyDescent="0.2">
      <c r="A46">
        <v>2025</v>
      </c>
      <c r="B46" s="108">
        <v>73</v>
      </c>
      <c r="C46" t="s">
        <v>111</v>
      </c>
      <c r="D46">
        <v>23</v>
      </c>
      <c r="E46">
        <v>1</v>
      </c>
      <c r="F46">
        <v>95.8333333333333</v>
      </c>
    </row>
    <row r="47" spans="1:8" x14ac:dyDescent="0.2">
      <c r="A47">
        <v>2025</v>
      </c>
      <c r="B47" s="108">
        <v>74</v>
      </c>
      <c r="C47" t="s">
        <v>257</v>
      </c>
      <c r="D47">
        <v>23</v>
      </c>
      <c r="E47">
        <v>1</v>
      </c>
      <c r="F47">
        <v>95.833333333333343</v>
      </c>
    </row>
    <row r="48" spans="1:8" x14ac:dyDescent="0.2">
      <c r="A48">
        <v>2025</v>
      </c>
      <c r="B48" s="108">
        <v>75</v>
      </c>
      <c r="C48" t="s">
        <v>257</v>
      </c>
      <c r="D48">
        <v>22</v>
      </c>
      <c r="E48">
        <v>2</v>
      </c>
      <c r="F48">
        <v>91.666666666666657</v>
      </c>
    </row>
    <row r="49" spans="1:8" x14ac:dyDescent="0.2">
      <c r="A49">
        <v>2025</v>
      </c>
      <c r="B49" s="108">
        <v>76</v>
      </c>
      <c r="C49" t="s">
        <v>257</v>
      </c>
      <c r="D49">
        <v>21</v>
      </c>
      <c r="E49">
        <v>3</v>
      </c>
      <c r="F49">
        <v>87.5</v>
      </c>
    </row>
    <row r="50" spans="1:8" x14ac:dyDescent="0.2">
      <c r="A50">
        <v>2025</v>
      </c>
      <c r="B50" s="108">
        <v>78</v>
      </c>
      <c r="C50" t="s">
        <v>257</v>
      </c>
      <c r="D50">
        <v>19</v>
      </c>
      <c r="E50">
        <v>5</v>
      </c>
      <c r="F50">
        <v>79.166666666666657</v>
      </c>
    </row>
    <row r="51" spans="1:8" x14ac:dyDescent="0.2">
      <c r="A51">
        <v>2025</v>
      </c>
      <c r="B51" s="108">
        <v>79</v>
      </c>
      <c r="C51" t="s">
        <v>257</v>
      </c>
      <c r="D51">
        <v>7</v>
      </c>
      <c r="E51">
        <v>17</v>
      </c>
      <c r="F51">
        <v>29.166666666666668</v>
      </c>
      <c r="H51" s="116" t="s">
        <v>261</v>
      </c>
    </row>
    <row r="52" spans="1:8" x14ac:dyDescent="0.2">
      <c r="A52">
        <v>2025</v>
      </c>
      <c r="B52" s="108">
        <v>96</v>
      </c>
      <c r="C52" t="s">
        <v>257</v>
      </c>
      <c r="D52">
        <v>19</v>
      </c>
      <c r="E52">
        <v>5</v>
      </c>
      <c r="F52">
        <v>79.166666666666657</v>
      </c>
    </row>
    <row r="53" spans="1:8" x14ac:dyDescent="0.2">
      <c r="A53">
        <v>2025</v>
      </c>
      <c r="B53" s="108">
        <v>97</v>
      </c>
      <c r="C53" t="s">
        <v>257</v>
      </c>
      <c r="D53">
        <v>23</v>
      </c>
      <c r="E53">
        <v>1</v>
      </c>
      <c r="F53">
        <v>95.833333333333343</v>
      </c>
    </row>
    <row r="57" spans="1:8" x14ac:dyDescent="0.2">
      <c r="H57" s="10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5EC1-79BA-D143-B342-1D725E64E3F9}">
  <dimension ref="A1:K124"/>
  <sheetViews>
    <sheetView workbookViewId="0">
      <selection activeCell="I11" sqref="I11"/>
    </sheetView>
  </sheetViews>
  <sheetFormatPr baseColWidth="10" defaultRowHeight="15" x14ac:dyDescent="0.2"/>
  <cols>
    <col min="1" max="1" width="10.83203125" style="1"/>
    <col min="2" max="2" width="9.83203125" style="2" customWidth="1"/>
    <col min="3" max="3" width="11.5" style="1" customWidth="1"/>
    <col min="4" max="4" width="14.33203125" style="1" bestFit="1" customWidth="1"/>
    <col min="5" max="5" width="13.5" style="1" bestFit="1" customWidth="1"/>
    <col min="6" max="6" width="9.5" style="1" bestFit="1" customWidth="1"/>
    <col min="7" max="7" width="14.83203125" style="1" bestFit="1" customWidth="1"/>
    <col min="8" max="8" width="21.6640625" style="1" customWidth="1"/>
    <col min="9" max="9" width="10.83203125" style="1" bestFit="1" customWidth="1"/>
    <col min="10" max="10" width="53.1640625" style="1" bestFit="1" customWidth="1"/>
    <col min="11" max="11" width="89.5" style="1" bestFit="1" customWidth="1"/>
    <col min="12" max="16384" width="10.83203125" style="1"/>
  </cols>
  <sheetData>
    <row r="1" spans="1:11" x14ac:dyDescent="0.2">
      <c r="A1" s="1" t="s">
        <v>209</v>
      </c>
      <c r="B1" s="25" t="s">
        <v>55</v>
      </c>
      <c r="C1" s="1" t="s">
        <v>54</v>
      </c>
      <c r="D1" s="1" t="s">
        <v>86</v>
      </c>
      <c r="E1" s="27" t="s">
        <v>57</v>
      </c>
      <c r="F1" s="1" t="s">
        <v>53</v>
      </c>
      <c r="G1" s="1" t="s">
        <v>52</v>
      </c>
      <c r="H1" s="1" t="s">
        <v>56</v>
      </c>
      <c r="I1" s="1" t="s">
        <v>250</v>
      </c>
    </row>
    <row r="2" spans="1:11" x14ac:dyDescent="0.2">
      <c r="A2" s="1">
        <v>2024</v>
      </c>
      <c r="B2" s="96" t="s">
        <v>51</v>
      </c>
      <c r="C2" s="20" t="s">
        <v>1</v>
      </c>
      <c r="D2" s="1" t="s">
        <v>103</v>
      </c>
      <c r="E2" s="20">
        <v>137</v>
      </c>
      <c r="F2" s="20">
        <v>181</v>
      </c>
      <c r="G2" s="20">
        <v>150</v>
      </c>
      <c r="I2" s="20">
        <v>1</v>
      </c>
    </row>
    <row r="3" spans="1:11" x14ac:dyDescent="0.2">
      <c r="A3" s="1">
        <v>2024</v>
      </c>
      <c r="B3" s="96" t="s">
        <v>38</v>
      </c>
      <c r="C3" s="20" t="s">
        <v>1</v>
      </c>
      <c r="D3" s="1" t="s">
        <v>111</v>
      </c>
      <c r="E3" s="20">
        <v>116</v>
      </c>
      <c r="F3" s="20">
        <v>179</v>
      </c>
      <c r="G3" s="20">
        <v>169</v>
      </c>
      <c r="I3" s="1">
        <v>0</v>
      </c>
    </row>
    <row r="4" spans="1:11" x14ac:dyDescent="0.2">
      <c r="A4" s="1">
        <v>2024</v>
      </c>
      <c r="B4" s="96" t="s">
        <v>37</v>
      </c>
      <c r="C4" s="20" t="s">
        <v>1</v>
      </c>
      <c r="D4" s="1" t="s">
        <v>103</v>
      </c>
      <c r="E4" s="20">
        <v>153</v>
      </c>
      <c r="F4" s="20">
        <v>154</v>
      </c>
      <c r="G4" s="20">
        <v>124</v>
      </c>
      <c r="I4" s="20">
        <v>0</v>
      </c>
      <c r="K4" s="21"/>
    </row>
    <row r="5" spans="1:11" x14ac:dyDescent="0.2">
      <c r="A5" s="1">
        <v>2024</v>
      </c>
      <c r="B5" s="96" t="s">
        <v>36</v>
      </c>
      <c r="C5" s="20" t="s">
        <v>1</v>
      </c>
      <c r="D5" s="1" t="s">
        <v>111</v>
      </c>
      <c r="E5" s="20">
        <v>171</v>
      </c>
      <c r="F5" s="20">
        <v>179</v>
      </c>
      <c r="G5" s="20">
        <v>144</v>
      </c>
      <c r="I5" s="20">
        <v>0</v>
      </c>
      <c r="K5" s="21"/>
    </row>
    <row r="6" spans="1:11" x14ac:dyDescent="0.2">
      <c r="A6" s="1">
        <v>2024</v>
      </c>
      <c r="B6" s="96" t="s">
        <v>50</v>
      </c>
      <c r="C6" s="20" t="s">
        <v>1</v>
      </c>
      <c r="D6" s="1" t="s">
        <v>111</v>
      </c>
      <c r="E6" s="20">
        <v>133</v>
      </c>
      <c r="F6" s="20">
        <v>165</v>
      </c>
      <c r="G6" s="20">
        <v>136</v>
      </c>
      <c r="I6" s="20">
        <v>1</v>
      </c>
      <c r="K6" s="21"/>
    </row>
    <row r="7" spans="1:11" x14ac:dyDescent="0.2">
      <c r="A7" s="1">
        <v>2024</v>
      </c>
      <c r="B7" s="96" t="s">
        <v>35</v>
      </c>
      <c r="C7" s="20" t="s">
        <v>1</v>
      </c>
      <c r="D7" s="1" t="s">
        <v>111</v>
      </c>
      <c r="E7" s="20">
        <v>146</v>
      </c>
      <c r="F7" s="20">
        <v>167</v>
      </c>
      <c r="G7" s="20">
        <v>126</v>
      </c>
      <c r="I7" s="20">
        <v>0</v>
      </c>
      <c r="K7" s="21"/>
    </row>
    <row r="8" spans="1:11" x14ac:dyDescent="0.2">
      <c r="A8" s="1">
        <v>2024</v>
      </c>
      <c r="B8" s="96" t="s">
        <v>34</v>
      </c>
      <c r="C8" s="20" t="s">
        <v>1</v>
      </c>
      <c r="D8" s="1" t="s">
        <v>111</v>
      </c>
      <c r="E8" s="20">
        <v>164</v>
      </c>
      <c r="F8" s="20">
        <v>191</v>
      </c>
      <c r="G8" s="20">
        <v>159</v>
      </c>
      <c r="I8" s="20">
        <v>0</v>
      </c>
      <c r="K8" s="21"/>
    </row>
    <row r="9" spans="1:11" x14ac:dyDescent="0.2">
      <c r="A9" s="1">
        <v>2024</v>
      </c>
      <c r="B9" s="96" t="s">
        <v>33</v>
      </c>
      <c r="C9" s="20" t="s">
        <v>1</v>
      </c>
      <c r="D9" s="35" t="s">
        <v>103</v>
      </c>
      <c r="E9" s="20">
        <v>140</v>
      </c>
      <c r="F9" s="20">
        <v>164</v>
      </c>
      <c r="G9" s="20">
        <v>137</v>
      </c>
      <c r="I9" s="20">
        <v>0</v>
      </c>
      <c r="K9" s="21"/>
    </row>
    <row r="10" spans="1:11" x14ac:dyDescent="0.2">
      <c r="A10" s="1">
        <v>2024</v>
      </c>
      <c r="B10" s="96" t="s">
        <v>32</v>
      </c>
      <c r="C10" s="20" t="s">
        <v>1</v>
      </c>
      <c r="D10" s="1" t="s">
        <v>103</v>
      </c>
      <c r="E10" s="20">
        <v>167</v>
      </c>
      <c r="F10" s="20">
        <v>159</v>
      </c>
      <c r="G10" s="20">
        <v>118</v>
      </c>
      <c r="I10" s="20">
        <v>0</v>
      </c>
      <c r="K10" s="21"/>
    </row>
    <row r="11" spans="1:11" x14ac:dyDescent="0.2">
      <c r="A11" s="1">
        <v>2024</v>
      </c>
      <c r="B11" s="96" t="s">
        <v>31</v>
      </c>
      <c r="C11" s="20" t="s">
        <v>1</v>
      </c>
      <c r="D11" s="1" t="s">
        <v>103</v>
      </c>
      <c r="E11" s="20">
        <v>131</v>
      </c>
      <c r="F11" s="20">
        <v>191</v>
      </c>
      <c r="G11" s="20">
        <v>164</v>
      </c>
      <c r="I11" s="20">
        <v>0</v>
      </c>
      <c r="K11" s="21"/>
    </row>
    <row r="12" spans="1:11" x14ac:dyDescent="0.2">
      <c r="A12" s="1">
        <v>2024</v>
      </c>
      <c r="B12" s="96" t="s">
        <v>30</v>
      </c>
      <c r="C12" s="20" t="s">
        <v>1</v>
      </c>
      <c r="D12" s="1" t="s">
        <v>111</v>
      </c>
      <c r="E12" s="20">
        <v>146</v>
      </c>
      <c r="F12" s="20">
        <v>136</v>
      </c>
      <c r="G12" s="20">
        <v>110</v>
      </c>
      <c r="I12" s="20">
        <v>1</v>
      </c>
      <c r="K12" s="21"/>
    </row>
    <row r="13" spans="1:11" x14ac:dyDescent="0.2">
      <c r="A13" s="1">
        <v>2024</v>
      </c>
      <c r="B13" s="96" t="s">
        <v>29</v>
      </c>
      <c r="C13" s="20" t="s">
        <v>1</v>
      </c>
      <c r="D13" s="1" t="s">
        <v>111</v>
      </c>
      <c r="E13" s="20">
        <v>153</v>
      </c>
      <c r="F13" s="20">
        <v>139</v>
      </c>
      <c r="G13" s="20">
        <v>102</v>
      </c>
      <c r="I13" s="20">
        <v>0</v>
      </c>
      <c r="K13" s="21"/>
    </row>
    <row r="14" spans="1:11" x14ac:dyDescent="0.2">
      <c r="A14" s="1">
        <v>2024</v>
      </c>
      <c r="B14" s="96" t="s">
        <v>28</v>
      </c>
      <c r="C14" s="20" t="s">
        <v>1</v>
      </c>
      <c r="D14" s="1" t="s">
        <v>111</v>
      </c>
      <c r="E14" s="20">
        <v>167</v>
      </c>
      <c r="F14" s="20">
        <v>151</v>
      </c>
      <c r="G14" s="20">
        <v>105</v>
      </c>
      <c r="I14" s="20">
        <v>0</v>
      </c>
      <c r="K14" s="21"/>
    </row>
    <row r="15" spans="1:11" x14ac:dyDescent="0.2">
      <c r="A15" s="1">
        <v>2024</v>
      </c>
      <c r="B15" s="97" t="s">
        <v>27</v>
      </c>
      <c r="C15" s="20" t="s">
        <v>1</v>
      </c>
      <c r="D15" s="1" t="s">
        <v>103</v>
      </c>
      <c r="E15" s="75">
        <v>121</v>
      </c>
      <c r="F15" s="75">
        <v>135</v>
      </c>
      <c r="G15" s="75">
        <v>116</v>
      </c>
      <c r="H15" s="98" t="s">
        <v>44</v>
      </c>
      <c r="I15" s="20">
        <v>0</v>
      </c>
      <c r="K15" s="21"/>
    </row>
    <row r="16" spans="1:11" x14ac:dyDescent="0.2">
      <c r="A16" s="1">
        <v>2024</v>
      </c>
      <c r="B16" s="96" t="s">
        <v>26</v>
      </c>
      <c r="C16" s="20" t="s">
        <v>1</v>
      </c>
      <c r="D16" s="1" t="s">
        <v>111</v>
      </c>
      <c r="E16" s="20">
        <v>118</v>
      </c>
      <c r="F16" s="20">
        <v>148</v>
      </c>
      <c r="G16" s="20">
        <v>126</v>
      </c>
      <c r="I16" s="20">
        <v>0</v>
      </c>
      <c r="K16" s="21"/>
    </row>
    <row r="17" spans="1:11" x14ac:dyDescent="0.2">
      <c r="A17" s="1">
        <v>2024</v>
      </c>
      <c r="B17" s="96" t="s">
        <v>24</v>
      </c>
      <c r="C17" s="20" t="s">
        <v>1</v>
      </c>
      <c r="D17" s="1" t="s">
        <v>103</v>
      </c>
      <c r="E17" s="20">
        <v>133</v>
      </c>
      <c r="F17" s="20">
        <v>120</v>
      </c>
      <c r="G17" s="20">
        <v>79</v>
      </c>
      <c r="I17" s="75">
        <v>0</v>
      </c>
      <c r="K17" s="23"/>
    </row>
    <row r="18" spans="1:11" x14ac:dyDescent="0.2">
      <c r="A18" s="1">
        <v>2024</v>
      </c>
      <c r="B18" s="96" t="s">
        <v>49</v>
      </c>
      <c r="C18" s="20" t="s">
        <v>1</v>
      </c>
      <c r="D18" s="1" t="s">
        <v>111</v>
      </c>
      <c r="E18" s="20">
        <v>112</v>
      </c>
      <c r="F18" s="20">
        <v>128</v>
      </c>
      <c r="G18" s="20">
        <v>128</v>
      </c>
      <c r="I18" s="20">
        <v>1</v>
      </c>
      <c r="K18" s="21"/>
    </row>
    <row r="19" spans="1:11" x14ac:dyDescent="0.2">
      <c r="A19" s="1">
        <v>2024</v>
      </c>
      <c r="B19" s="96" t="s">
        <v>23</v>
      </c>
      <c r="C19" s="20" t="s">
        <v>1</v>
      </c>
      <c r="D19" s="1" t="s">
        <v>103</v>
      </c>
      <c r="E19" s="20">
        <v>151</v>
      </c>
      <c r="F19" s="20">
        <v>146</v>
      </c>
      <c r="G19" s="20">
        <v>109</v>
      </c>
      <c r="I19" s="20">
        <v>0</v>
      </c>
      <c r="K19" s="21"/>
    </row>
    <row r="20" spans="1:11" x14ac:dyDescent="0.2">
      <c r="A20" s="1">
        <v>2024</v>
      </c>
      <c r="B20" s="96" t="s">
        <v>48</v>
      </c>
      <c r="C20" s="20" t="s">
        <v>1</v>
      </c>
      <c r="D20" s="1" t="s">
        <v>111</v>
      </c>
      <c r="E20" s="20">
        <v>176</v>
      </c>
      <c r="F20" s="20">
        <v>176</v>
      </c>
      <c r="G20" s="20">
        <v>134</v>
      </c>
      <c r="I20" s="20">
        <v>1</v>
      </c>
      <c r="K20" s="21"/>
    </row>
    <row r="21" spans="1:11" x14ac:dyDescent="0.2">
      <c r="A21" s="1">
        <v>2024</v>
      </c>
      <c r="B21" s="96" t="s">
        <v>22</v>
      </c>
      <c r="C21" s="20" t="s">
        <v>1</v>
      </c>
      <c r="D21" s="1" t="s">
        <v>103</v>
      </c>
      <c r="E21" s="20">
        <v>185</v>
      </c>
      <c r="F21" s="20">
        <v>164</v>
      </c>
      <c r="G21" s="20">
        <v>123</v>
      </c>
      <c r="I21" s="20">
        <v>0</v>
      </c>
      <c r="K21" s="21"/>
    </row>
    <row r="22" spans="1:11" x14ac:dyDescent="0.2">
      <c r="A22" s="1">
        <v>2024</v>
      </c>
      <c r="B22" s="96" t="s">
        <v>21</v>
      </c>
      <c r="C22" s="20" t="s">
        <v>1</v>
      </c>
      <c r="D22" s="1" t="s">
        <v>111</v>
      </c>
      <c r="E22" s="20">
        <v>151</v>
      </c>
      <c r="F22" s="20">
        <v>120</v>
      </c>
      <c r="G22" s="20">
        <v>70</v>
      </c>
      <c r="I22" s="20">
        <v>0</v>
      </c>
      <c r="K22" s="21"/>
    </row>
    <row r="23" spans="1:11" x14ac:dyDescent="0.2">
      <c r="A23" s="1">
        <v>2024</v>
      </c>
      <c r="B23" s="96" t="s">
        <v>47</v>
      </c>
      <c r="C23" s="20" t="s">
        <v>1</v>
      </c>
      <c r="D23" s="1" t="s">
        <v>103</v>
      </c>
      <c r="E23" s="20">
        <v>181</v>
      </c>
      <c r="F23" s="20">
        <v>182</v>
      </c>
      <c r="G23" s="20">
        <v>145</v>
      </c>
      <c r="I23" s="20">
        <v>1</v>
      </c>
      <c r="K23" s="21"/>
    </row>
    <row r="24" spans="1:11" x14ac:dyDescent="0.2">
      <c r="A24" s="1">
        <v>2024</v>
      </c>
      <c r="B24" s="96" t="s">
        <v>19</v>
      </c>
      <c r="C24" s="20" t="s">
        <v>1</v>
      </c>
      <c r="D24" s="1" t="s">
        <v>111</v>
      </c>
      <c r="E24" s="20">
        <v>167</v>
      </c>
      <c r="F24" s="20">
        <v>177</v>
      </c>
      <c r="G24" s="20">
        <v>153</v>
      </c>
      <c r="I24" s="20">
        <v>0</v>
      </c>
      <c r="K24" s="21"/>
    </row>
    <row r="25" spans="1:11" x14ac:dyDescent="0.2">
      <c r="A25" s="1">
        <v>2024</v>
      </c>
      <c r="B25" s="96" t="s">
        <v>18</v>
      </c>
      <c r="C25" s="20" t="s">
        <v>1</v>
      </c>
      <c r="D25" s="1" t="s">
        <v>111</v>
      </c>
      <c r="E25" s="20">
        <v>64</v>
      </c>
      <c r="F25" s="20">
        <v>127</v>
      </c>
      <c r="G25" s="20">
        <v>109</v>
      </c>
      <c r="I25" s="20">
        <v>0</v>
      </c>
      <c r="K25" s="21"/>
    </row>
    <row r="26" spans="1:11" x14ac:dyDescent="0.2">
      <c r="A26" s="1">
        <v>2024</v>
      </c>
      <c r="B26" s="96" t="s">
        <v>17</v>
      </c>
      <c r="C26" s="20" t="s">
        <v>1</v>
      </c>
      <c r="D26" s="1" t="s">
        <v>111</v>
      </c>
      <c r="E26" s="20">
        <v>140</v>
      </c>
      <c r="F26" s="20">
        <v>132</v>
      </c>
      <c r="G26" s="20">
        <v>111</v>
      </c>
      <c r="I26" s="20">
        <v>0</v>
      </c>
      <c r="K26" s="21"/>
    </row>
    <row r="27" spans="1:11" x14ac:dyDescent="0.2">
      <c r="A27" s="1">
        <v>2024</v>
      </c>
      <c r="B27" s="96" t="s">
        <v>16</v>
      </c>
      <c r="C27" s="20" t="s">
        <v>1</v>
      </c>
      <c r="D27" s="1" t="s">
        <v>103</v>
      </c>
      <c r="E27" s="20">
        <v>139</v>
      </c>
      <c r="F27" s="20">
        <v>155</v>
      </c>
      <c r="G27" s="20">
        <v>145</v>
      </c>
      <c r="I27" s="20">
        <v>0</v>
      </c>
      <c r="K27" s="21"/>
    </row>
    <row r="28" spans="1:11" x14ac:dyDescent="0.2">
      <c r="A28" s="1">
        <v>2024</v>
      </c>
      <c r="B28" s="97" t="s">
        <v>46</v>
      </c>
      <c r="C28" s="20" t="s">
        <v>1</v>
      </c>
      <c r="D28" s="1" t="s">
        <v>111</v>
      </c>
      <c r="E28" s="75">
        <v>122</v>
      </c>
      <c r="F28" s="75">
        <v>166</v>
      </c>
      <c r="G28" s="75">
        <v>129</v>
      </c>
      <c r="H28" s="98" t="s">
        <v>44</v>
      </c>
      <c r="I28" s="20">
        <v>1</v>
      </c>
      <c r="K28" s="21"/>
    </row>
    <row r="29" spans="1:11" x14ac:dyDescent="0.2">
      <c r="A29" s="1">
        <v>2024</v>
      </c>
      <c r="B29" s="96" t="s">
        <v>45</v>
      </c>
      <c r="C29" s="20" t="s">
        <v>1</v>
      </c>
      <c r="D29" s="1" t="s">
        <v>111</v>
      </c>
      <c r="E29" s="20">
        <v>114</v>
      </c>
      <c r="F29" s="20">
        <v>149</v>
      </c>
      <c r="G29" s="20">
        <v>126</v>
      </c>
      <c r="I29" s="20">
        <v>1</v>
      </c>
      <c r="K29" s="21"/>
    </row>
    <row r="30" spans="1:11" x14ac:dyDescent="0.2">
      <c r="A30" s="1">
        <v>2024</v>
      </c>
      <c r="B30" s="96" t="s">
        <v>14</v>
      </c>
      <c r="C30" s="20" t="s">
        <v>1</v>
      </c>
      <c r="D30" s="1" t="s">
        <v>103</v>
      </c>
      <c r="E30" s="20">
        <v>69</v>
      </c>
      <c r="F30" s="20">
        <v>127</v>
      </c>
      <c r="G30" s="20">
        <v>110</v>
      </c>
      <c r="I30" s="75">
        <v>0</v>
      </c>
      <c r="K30" s="23"/>
    </row>
    <row r="31" spans="1:11" x14ac:dyDescent="0.2">
      <c r="A31" s="1">
        <v>2024</v>
      </c>
      <c r="B31" s="96" t="s">
        <v>13</v>
      </c>
      <c r="C31" s="20" t="s">
        <v>1</v>
      </c>
      <c r="D31" s="35" t="s">
        <v>111</v>
      </c>
      <c r="E31" s="20">
        <v>128</v>
      </c>
      <c r="F31" s="20">
        <v>145</v>
      </c>
      <c r="G31" s="20"/>
      <c r="I31" s="20">
        <v>0</v>
      </c>
      <c r="K31" s="21"/>
    </row>
    <row r="32" spans="1:11" x14ac:dyDescent="0.2">
      <c r="A32" s="1">
        <v>2024</v>
      </c>
      <c r="B32" s="97" t="s">
        <v>12</v>
      </c>
      <c r="C32" s="20" t="s">
        <v>1</v>
      </c>
      <c r="D32" s="1" t="s">
        <v>103</v>
      </c>
      <c r="E32" s="75">
        <v>99</v>
      </c>
      <c r="F32" s="75">
        <v>129</v>
      </c>
      <c r="G32" s="75">
        <v>112</v>
      </c>
      <c r="H32" s="98" t="s">
        <v>44</v>
      </c>
      <c r="I32" s="20">
        <v>0</v>
      </c>
      <c r="K32" s="21"/>
    </row>
    <row r="33" spans="1:11" x14ac:dyDescent="0.2">
      <c r="A33" s="1">
        <v>2024</v>
      </c>
      <c r="B33" s="96" t="s">
        <v>43</v>
      </c>
      <c r="C33" s="20" t="s">
        <v>1</v>
      </c>
      <c r="D33" s="1" t="s">
        <v>103</v>
      </c>
      <c r="E33" s="20">
        <v>145</v>
      </c>
      <c r="F33" s="20">
        <v>153</v>
      </c>
      <c r="G33" s="20">
        <v>136</v>
      </c>
      <c r="I33" s="20">
        <v>1</v>
      </c>
      <c r="K33" s="17"/>
    </row>
    <row r="34" spans="1:11" x14ac:dyDescent="0.2">
      <c r="A34" s="1">
        <v>2024</v>
      </c>
      <c r="B34" s="96" t="s">
        <v>11</v>
      </c>
      <c r="C34" s="20" t="s">
        <v>1</v>
      </c>
      <c r="D34" s="1" t="s">
        <v>103</v>
      </c>
      <c r="E34" s="20">
        <v>78</v>
      </c>
      <c r="F34" s="20">
        <v>138</v>
      </c>
      <c r="G34" s="20">
        <v>103</v>
      </c>
      <c r="H34" s="1" t="s">
        <v>42</v>
      </c>
      <c r="I34" s="75">
        <v>0</v>
      </c>
      <c r="K34" s="22"/>
    </row>
    <row r="35" spans="1:11" x14ac:dyDescent="0.2">
      <c r="A35" s="1">
        <v>2024</v>
      </c>
      <c r="B35" s="96" t="s">
        <v>10</v>
      </c>
      <c r="C35" s="20" t="s">
        <v>1</v>
      </c>
      <c r="D35" s="1" t="s">
        <v>111</v>
      </c>
      <c r="E35" s="20">
        <v>139</v>
      </c>
      <c r="F35" s="20">
        <v>157</v>
      </c>
      <c r="G35" s="20">
        <v>115</v>
      </c>
      <c r="I35" s="20">
        <v>0</v>
      </c>
      <c r="K35" s="17"/>
    </row>
    <row r="36" spans="1:11" x14ac:dyDescent="0.2">
      <c r="A36" s="1">
        <v>2024</v>
      </c>
      <c r="B36" s="96" t="s">
        <v>41</v>
      </c>
      <c r="C36" s="20" t="s">
        <v>1</v>
      </c>
      <c r="D36" s="1" t="s">
        <v>103</v>
      </c>
      <c r="E36" s="20">
        <v>129</v>
      </c>
      <c r="F36" s="20">
        <v>145</v>
      </c>
      <c r="G36" s="20">
        <v>124</v>
      </c>
      <c r="I36" s="20">
        <v>1</v>
      </c>
      <c r="K36" s="17"/>
    </row>
    <row r="37" spans="1:11" x14ac:dyDescent="0.2">
      <c r="A37" s="1">
        <v>2024</v>
      </c>
      <c r="B37" s="96" t="s">
        <v>9</v>
      </c>
      <c r="C37" s="20" t="s">
        <v>1</v>
      </c>
      <c r="D37" s="1" t="s">
        <v>103</v>
      </c>
      <c r="E37" s="20">
        <v>120</v>
      </c>
      <c r="F37" s="20">
        <v>123</v>
      </c>
      <c r="G37" s="20">
        <v>91</v>
      </c>
      <c r="I37" s="20">
        <v>0</v>
      </c>
      <c r="K37" s="17"/>
    </row>
    <row r="38" spans="1:11" x14ac:dyDescent="0.2">
      <c r="A38" s="1">
        <v>2024</v>
      </c>
      <c r="B38" s="96" t="s">
        <v>8</v>
      </c>
      <c r="C38" s="20" t="s">
        <v>1</v>
      </c>
      <c r="D38" s="1" t="s">
        <v>111</v>
      </c>
      <c r="E38" s="20">
        <v>167</v>
      </c>
      <c r="F38" s="20">
        <v>154</v>
      </c>
      <c r="G38" s="20">
        <v>96</v>
      </c>
      <c r="I38" s="20">
        <v>0</v>
      </c>
      <c r="K38" s="17"/>
    </row>
    <row r="39" spans="1:11" x14ac:dyDescent="0.2">
      <c r="A39" s="1">
        <v>2024</v>
      </c>
      <c r="B39" s="96" t="s">
        <v>7</v>
      </c>
      <c r="C39" s="20" t="s">
        <v>1</v>
      </c>
      <c r="D39" s="1" t="s">
        <v>111</v>
      </c>
      <c r="E39" s="20">
        <v>68</v>
      </c>
      <c r="F39" s="20">
        <v>97</v>
      </c>
      <c r="G39" s="20">
        <v>72</v>
      </c>
      <c r="I39" s="20">
        <v>0</v>
      </c>
      <c r="K39" s="17"/>
    </row>
    <row r="40" spans="1:11" x14ac:dyDescent="0.2">
      <c r="A40" s="1">
        <v>2024</v>
      </c>
      <c r="B40" s="96" t="s">
        <v>40</v>
      </c>
      <c r="C40" s="20" t="s">
        <v>1</v>
      </c>
      <c r="D40" s="1" t="s">
        <v>111</v>
      </c>
      <c r="E40" s="20">
        <v>179</v>
      </c>
      <c r="F40" s="20">
        <v>178</v>
      </c>
      <c r="G40" s="20">
        <v>139</v>
      </c>
      <c r="I40" s="20">
        <v>1</v>
      </c>
      <c r="K40" s="21"/>
    </row>
    <row r="41" spans="1:11" x14ac:dyDescent="0.2">
      <c r="A41" s="1">
        <v>2024</v>
      </c>
      <c r="B41" s="96" t="s">
        <v>6</v>
      </c>
      <c r="C41" s="20" t="s">
        <v>1</v>
      </c>
      <c r="D41" s="1" t="s">
        <v>103</v>
      </c>
      <c r="E41" s="20">
        <v>211</v>
      </c>
      <c r="F41" s="20">
        <v>169</v>
      </c>
      <c r="G41" s="20">
        <v>127</v>
      </c>
      <c r="I41" s="20">
        <v>0</v>
      </c>
      <c r="K41" s="21"/>
    </row>
    <row r="42" spans="1:11" x14ac:dyDescent="0.2">
      <c r="A42" s="1">
        <v>2024</v>
      </c>
      <c r="B42" s="96" t="s">
        <v>5</v>
      </c>
      <c r="C42" s="20" t="s">
        <v>1</v>
      </c>
      <c r="D42" s="1" t="s">
        <v>111</v>
      </c>
      <c r="E42" s="20">
        <v>179</v>
      </c>
      <c r="F42" s="20">
        <v>163</v>
      </c>
      <c r="G42" s="20">
        <v>136</v>
      </c>
      <c r="I42" s="20">
        <v>0</v>
      </c>
      <c r="K42" s="21"/>
    </row>
    <row r="43" spans="1:11" x14ac:dyDescent="0.2">
      <c r="A43" s="1">
        <v>2024</v>
      </c>
      <c r="B43" s="96" t="s">
        <v>4</v>
      </c>
      <c r="C43" s="20" t="s">
        <v>1</v>
      </c>
      <c r="D43" s="1" t="s">
        <v>111</v>
      </c>
      <c r="E43" s="20">
        <v>190</v>
      </c>
      <c r="F43" s="20">
        <v>162</v>
      </c>
      <c r="G43" s="20">
        <v>127</v>
      </c>
      <c r="I43" s="20">
        <v>0</v>
      </c>
      <c r="K43" s="21"/>
    </row>
    <row r="44" spans="1:11" x14ac:dyDescent="0.2">
      <c r="A44" s="1">
        <v>2024</v>
      </c>
      <c r="B44" s="96" t="s">
        <v>3</v>
      </c>
      <c r="C44" s="20" t="s">
        <v>1</v>
      </c>
      <c r="D44" s="1" t="s">
        <v>103</v>
      </c>
      <c r="E44" s="20">
        <v>150</v>
      </c>
      <c r="F44" s="20">
        <v>165</v>
      </c>
      <c r="G44" s="20">
        <v>128</v>
      </c>
      <c r="I44" s="20">
        <v>0</v>
      </c>
      <c r="K44" s="21"/>
    </row>
    <row r="45" spans="1:11" ht="16" thickBot="1" x14ac:dyDescent="0.25">
      <c r="A45" s="94">
        <v>2024</v>
      </c>
      <c r="B45" s="101" t="s">
        <v>2</v>
      </c>
      <c r="C45" s="102" t="s">
        <v>1</v>
      </c>
      <c r="D45" s="94" t="s">
        <v>103</v>
      </c>
      <c r="E45" s="102">
        <v>116</v>
      </c>
      <c r="F45" s="102">
        <v>140</v>
      </c>
      <c r="G45" s="102">
        <v>84</v>
      </c>
      <c r="H45" s="94" t="s">
        <v>39</v>
      </c>
      <c r="I45" s="20">
        <v>0</v>
      </c>
      <c r="K45" s="21"/>
    </row>
    <row r="46" spans="1:11" x14ac:dyDescent="0.2">
      <c r="A46" s="1">
        <v>2025</v>
      </c>
      <c r="B46" s="62">
        <v>27</v>
      </c>
      <c r="C46" s="63" t="s">
        <v>1</v>
      </c>
      <c r="D46" s="1" t="s">
        <v>103</v>
      </c>
      <c r="E46" s="64">
        <v>130</v>
      </c>
      <c r="F46" s="64">
        <v>130</v>
      </c>
      <c r="G46" s="64">
        <v>114</v>
      </c>
      <c r="I46" s="20">
        <v>0</v>
      </c>
      <c r="K46" s="21"/>
    </row>
    <row r="47" spans="1:11" x14ac:dyDescent="0.2">
      <c r="A47" s="1">
        <v>2025</v>
      </c>
      <c r="B47" s="62">
        <v>28</v>
      </c>
      <c r="C47" s="63" t="s">
        <v>1</v>
      </c>
      <c r="D47" s="1" t="s">
        <v>103</v>
      </c>
      <c r="E47" s="64">
        <v>154</v>
      </c>
      <c r="F47" s="64">
        <v>155</v>
      </c>
      <c r="G47" s="64">
        <v>136</v>
      </c>
      <c r="I47" s="20">
        <v>0</v>
      </c>
      <c r="K47" s="19"/>
    </row>
    <row r="48" spans="1:11" x14ac:dyDescent="0.2">
      <c r="A48" s="1">
        <v>2025</v>
      </c>
      <c r="B48" s="62">
        <v>29</v>
      </c>
      <c r="C48" s="63" t="s">
        <v>1</v>
      </c>
      <c r="D48" s="1" t="s">
        <v>111</v>
      </c>
      <c r="E48" s="64">
        <v>135</v>
      </c>
      <c r="F48" s="64">
        <v>114</v>
      </c>
      <c r="G48" s="64">
        <v>113</v>
      </c>
      <c r="H48" s="20"/>
      <c r="I48" s="20">
        <v>1</v>
      </c>
      <c r="K48" s="17"/>
    </row>
    <row r="49" spans="1:11" x14ac:dyDescent="0.2">
      <c r="A49" s="1">
        <v>2025</v>
      </c>
      <c r="B49" s="62">
        <v>30</v>
      </c>
      <c r="C49" s="63" t="s">
        <v>1</v>
      </c>
      <c r="D49" s="1" t="s">
        <v>103</v>
      </c>
      <c r="E49" s="64">
        <v>94</v>
      </c>
      <c r="F49" s="64">
        <v>135</v>
      </c>
      <c r="G49" s="64">
        <v>117</v>
      </c>
      <c r="H49" s="20"/>
      <c r="I49" s="20">
        <v>1</v>
      </c>
      <c r="K49" s="17"/>
    </row>
    <row r="50" spans="1:11" x14ac:dyDescent="0.2">
      <c r="A50" s="1">
        <v>2025</v>
      </c>
      <c r="B50" s="62">
        <v>44</v>
      </c>
      <c r="C50" s="63" t="s">
        <v>1</v>
      </c>
      <c r="D50" s="1" t="s">
        <v>103</v>
      </c>
      <c r="E50" s="64">
        <v>111</v>
      </c>
      <c r="F50" s="64">
        <v>86</v>
      </c>
      <c r="G50" s="64">
        <v>69</v>
      </c>
      <c r="H50" s="20"/>
      <c r="I50" s="20">
        <v>0</v>
      </c>
      <c r="K50" s="17"/>
    </row>
    <row r="51" spans="1:11" x14ac:dyDescent="0.2">
      <c r="A51" s="1">
        <v>2025</v>
      </c>
      <c r="B51" s="62">
        <v>45</v>
      </c>
      <c r="C51" s="63" t="s">
        <v>1</v>
      </c>
      <c r="D51" s="1" t="s">
        <v>111</v>
      </c>
      <c r="E51" s="64">
        <v>178</v>
      </c>
      <c r="F51" s="64">
        <v>156</v>
      </c>
      <c r="G51" s="64">
        <v>102</v>
      </c>
      <c r="H51" s="20"/>
      <c r="I51" s="20">
        <v>1</v>
      </c>
      <c r="K51" s="17"/>
    </row>
    <row r="52" spans="1:11" x14ac:dyDescent="0.2">
      <c r="A52" s="1">
        <v>2025</v>
      </c>
      <c r="B52" s="62">
        <v>46</v>
      </c>
      <c r="C52" s="63" t="s">
        <v>1</v>
      </c>
      <c r="D52" s="1" t="s">
        <v>111</v>
      </c>
      <c r="E52" s="64">
        <v>129</v>
      </c>
      <c r="F52" s="64">
        <v>135</v>
      </c>
      <c r="G52" s="64">
        <v>125</v>
      </c>
      <c r="H52" s="20"/>
      <c r="I52" s="20">
        <v>0</v>
      </c>
      <c r="K52" s="17"/>
    </row>
    <row r="53" spans="1:11" x14ac:dyDescent="0.2">
      <c r="A53" s="1">
        <v>2025</v>
      </c>
      <c r="B53" s="62">
        <v>47</v>
      </c>
      <c r="C53" s="63" t="s">
        <v>1</v>
      </c>
      <c r="D53" s="1" t="s">
        <v>111</v>
      </c>
      <c r="E53" s="64">
        <v>165</v>
      </c>
      <c r="F53" s="64">
        <v>172</v>
      </c>
      <c r="G53" s="64">
        <v>150</v>
      </c>
      <c r="H53" s="20"/>
      <c r="I53" s="20">
        <v>1</v>
      </c>
      <c r="K53" s="17"/>
    </row>
    <row r="54" spans="1:11" x14ac:dyDescent="0.2">
      <c r="A54" s="1">
        <v>2025</v>
      </c>
      <c r="B54" s="62">
        <v>48</v>
      </c>
      <c r="C54" s="63" t="s">
        <v>1</v>
      </c>
      <c r="D54" s="1" t="s">
        <v>103</v>
      </c>
      <c r="E54" s="64">
        <v>129</v>
      </c>
      <c r="F54" s="64">
        <v>109</v>
      </c>
      <c r="G54" s="64">
        <v>109</v>
      </c>
      <c r="H54" s="20"/>
      <c r="I54" s="20">
        <v>0</v>
      </c>
      <c r="K54" s="17"/>
    </row>
    <row r="55" spans="1:11" x14ac:dyDescent="0.2">
      <c r="A55" s="1">
        <v>2025</v>
      </c>
      <c r="B55" s="62">
        <v>61</v>
      </c>
      <c r="C55" s="63" t="s">
        <v>1</v>
      </c>
      <c r="D55" s="1" t="s">
        <v>103</v>
      </c>
      <c r="E55" s="64">
        <v>104</v>
      </c>
      <c r="F55" s="64">
        <v>103</v>
      </c>
      <c r="G55" s="64">
        <v>78</v>
      </c>
      <c r="I55" s="20">
        <v>0</v>
      </c>
      <c r="K55" s="11"/>
    </row>
    <row r="56" spans="1:11" x14ac:dyDescent="0.2">
      <c r="A56" s="1">
        <v>2025</v>
      </c>
      <c r="B56" s="62">
        <v>62</v>
      </c>
      <c r="C56" s="63" t="s">
        <v>1</v>
      </c>
      <c r="D56" s="1" t="s">
        <v>103</v>
      </c>
      <c r="E56" s="64">
        <v>124</v>
      </c>
      <c r="F56" s="64">
        <v>90</v>
      </c>
      <c r="G56" s="64">
        <v>88</v>
      </c>
      <c r="H56" s="20"/>
      <c r="I56" s="20">
        <v>0</v>
      </c>
      <c r="K56" s="17"/>
    </row>
    <row r="57" spans="1:11" x14ac:dyDescent="0.2">
      <c r="A57" s="1">
        <v>2025</v>
      </c>
      <c r="B57" s="62">
        <v>63</v>
      </c>
      <c r="C57" s="63" t="s">
        <v>1</v>
      </c>
      <c r="D57" s="1" t="s">
        <v>111</v>
      </c>
      <c r="E57" s="64">
        <v>127</v>
      </c>
      <c r="F57" s="64">
        <v>132</v>
      </c>
      <c r="G57" s="64">
        <v>149</v>
      </c>
      <c r="H57" s="20"/>
      <c r="I57" s="20">
        <v>0</v>
      </c>
      <c r="K57" s="17"/>
    </row>
    <row r="58" spans="1:11" x14ac:dyDescent="0.2">
      <c r="A58" s="1">
        <v>2025</v>
      </c>
      <c r="B58" s="62">
        <v>71</v>
      </c>
      <c r="C58" s="63" t="s">
        <v>1</v>
      </c>
      <c r="D58" s="1" t="s">
        <v>103</v>
      </c>
      <c r="E58" s="64">
        <v>158</v>
      </c>
      <c r="F58" s="64">
        <v>134</v>
      </c>
      <c r="G58" s="64">
        <v>110</v>
      </c>
      <c r="H58" s="20"/>
      <c r="I58" s="20">
        <v>0</v>
      </c>
      <c r="K58" s="17"/>
    </row>
    <row r="59" spans="1:11" x14ac:dyDescent="0.2">
      <c r="A59" s="1">
        <v>2025</v>
      </c>
      <c r="B59" s="62">
        <v>72</v>
      </c>
      <c r="C59" s="63" t="s">
        <v>1</v>
      </c>
      <c r="D59" s="1" t="s">
        <v>111</v>
      </c>
      <c r="E59" s="64">
        <v>127</v>
      </c>
      <c r="F59" s="64">
        <v>121</v>
      </c>
      <c r="G59" s="64">
        <v>106</v>
      </c>
      <c r="H59" s="20"/>
      <c r="I59" s="20">
        <v>1</v>
      </c>
      <c r="K59" s="17"/>
    </row>
    <row r="60" spans="1:11" x14ac:dyDescent="0.2">
      <c r="A60" s="1">
        <v>2025</v>
      </c>
      <c r="B60" s="62">
        <v>73</v>
      </c>
      <c r="C60" s="63" t="s">
        <v>1</v>
      </c>
      <c r="D60" s="1" t="s">
        <v>111</v>
      </c>
      <c r="E60" s="64">
        <v>130</v>
      </c>
      <c r="F60" s="64">
        <v>125</v>
      </c>
      <c r="G60" s="64">
        <v>107</v>
      </c>
      <c r="H60" s="20"/>
      <c r="I60" s="20">
        <v>0</v>
      </c>
      <c r="K60" s="17"/>
    </row>
    <row r="61" spans="1:11" x14ac:dyDescent="0.2">
      <c r="A61" s="1">
        <v>2025</v>
      </c>
      <c r="B61" s="62">
        <v>74</v>
      </c>
      <c r="C61" s="63" t="s">
        <v>1</v>
      </c>
      <c r="D61" s="1" t="s">
        <v>103</v>
      </c>
      <c r="E61" s="64">
        <v>141</v>
      </c>
      <c r="F61" s="64">
        <v>113</v>
      </c>
      <c r="G61" s="64">
        <v>94</v>
      </c>
      <c r="H61" s="20"/>
      <c r="I61" s="20">
        <v>0</v>
      </c>
      <c r="K61" s="17"/>
    </row>
    <row r="62" spans="1:11" x14ac:dyDescent="0.2">
      <c r="A62" s="1">
        <v>2025</v>
      </c>
      <c r="B62" s="62">
        <v>75</v>
      </c>
      <c r="C62" s="63" t="s">
        <v>1</v>
      </c>
      <c r="D62" s="1" t="s">
        <v>103</v>
      </c>
      <c r="E62" s="64">
        <v>86</v>
      </c>
      <c r="F62" s="64">
        <v>69</v>
      </c>
      <c r="G62" s="64">
        <v>109</v>
      </c>
      <c r="H62" s="20"/>
      <c r="I62" s="20">
        <v>0</v>
      </c>
      <c r="K62" s="17"/>
    </row>
    <row r="63" spans="1:11" x14ac:dyDescent="0.2">
      <c r="A63" s="1">
        <v>2025</v>
      </c>
      <c r="B63" s="62">
        <v>76</v>
      </c>
      <c r="C63" s="63" t="s">
        <v>1</v>
      </c>
      <c r="D63" s="1" t="s">
        <v>103</v>
      </c>
      <c r="E63" s="64">
        <v>37</v>
      </c>
      <c r="F63" s="64">
        <v>117</v>
      </c>
      <c r="G63" s="64">
        <v>108</v>
      </c>
      <c r="H63" s="20"/>
      <c r="I63" s="20">
        <v>0</v>
      </c>
      <c r="K63" s="17"/>
    </row>
    <row r="64" spans="1:11" x14ac:dyDescent="0.2">
      <c r="A64" s="1">
        <v>2025</v>
      </c>
      <c r="B64" s="62">
        <v>77</v>
      </c>
      <c r="C64" s="63" t="s">
        <v>1</v>
      </c>
      <c r="D64" s="1" t="s">
        <v>111</v>
      </c>
      <c r="E64" s="66">
        <v>0</v>
      </c>
      <c r="F64" s="66">
        <v>0</v>
      </c>
      <c r="G64" s="66">
        <v>0</v>
      </c>
      <c r="H64" s="20"/>
      <c r="I64" s="20">
        <v>1</v>
      </c>
      <c r="K64" s="17"/>
    </row>
    <row r="65" spans="1:11" x14ac:dyDescent="0.2">
      <c r="A65" s="1">
        <v>2025</v>
      </c>
      <c r="B65" s="62">
        <v>78</v>
      </c>
      <c r="C65" s="63" t="s">
        <v>1</v>
      </c>
      <c r="D65" s="1" t="s">
        <v>103</v>
      </c>
      <c r="E65" s="64">
        <v>142</v>
      </c>
      <c r="F65" s="64">
        <v>117</v>
      </c>
      <c r="G65" s="64">
        <v>90</v>
      </c>
      <c r="H65" s="20"/>
      <c r="I65" s="20">
        <v>0</v>
      </c>
      <c r="K65" s="17"/>
    </row>
    <row r="66" spans="1:11" x14ac:dyDescent="0.2">
      <c r="A66" s="1">
        <v>2025</v>
      </c>
      <c r="B66" s="62">
        <v>79</v>
      </c>
      <c r="C66" s="63" t="s">
        <v>1</v>
      </c>
      <c r="D66" s="1" t="s">
        <v>103</v>
      </c>
      <c r="E66" s="64">
        <v>130</v>
      </c>
      <c r="F66" s="64">
        <v>98</v>
      </c>
      <c r="G66" s="64">
        <v>74</v>
      </c>
      <c r="H66" s="20"/>
      <c r="I66" s="20">
        <v>1</v>
      </c>
      <c r="K66" s="17"/>
    </row>
    <row r="67" spans="1:11" x14ac:dyDescent="0.2">
      <c r="A67" s="1">
        <v>2025</v>
      </c>
      <c r="B67" s="62">
        <v>80</v>
      </c>
      <c r="C67" s="63" t="s">
        <v>1</v>
      </c>
      <c r="D67" s="1" t="s">
        <v>111</v>
      </c>
      <c r="E67" s="64">
        <v>67</v>
      </c>
      <c r="F67" s="64">
        <v>67</v>
      </c>
      <c r="G67" s="64">
        <v>70</v>
      </c>
      <c r="H67" s="20"/>
      <c r="I67" s="20">
        <v>1</v>
      </c>
      <c r="K67" s="17"/>
    </row>
    <row r="68" spans="1:11" x14ac:dyDescent="0.2">
      <c r="A68" s="1">
        <v>2025</v>
      </c>
      <c r="B68" s="62">
        <v>96</v>
      </c>
      <c r="C68" s="63" t="s">
        <v>1</v>
      </c>
      <c r="D68" s="1" t="s">
        <v>103</v>
      </c>
      <c r="E68" s="64">
        <v>169</v>
      </c>
      <c r="F68" s="64">
        <v>131</v>
      </c>
      <c r="G68" s="64">
        <v>119</v>
      </c>
      <c r="H68" s="20"/>
      <c r="I68" s="20">
        <v>0</v>
      </c>
      <c r="K68" s="17"/>
    </row>
    <row r="69" spans="1:11" x14ac:dyDescent="0.2">
      <c r="A69" s="1">
        <v>2025</v>
      </c>
      <c r="B69" s="62">
        <v>97</v>
      </c>
      <c r="C69" s="63" t="s">
        <v>1</v>
      </c>
      <c r="D69" s="1" t="s">
        <v>103</v>
      </c>
      <c r="E69" s="64">
        <v>111</v>
      </c>
      <c r="F69" s="64">
        <v>130</v>
      </c>
      <c r="G69" s="64">
        <v>90</v>
      </c>
      <c r="H69" s="20"/>
      <c r="I69" s="20">
        <v>0</v>
      </c>
      <c r="K69" s="17"/>
    </row>
    <row r="70" spans="1:11" x14ac:dyDescent="0.2">
      <c r="A70" s="1">
        <v>2025</v>
      </c>
      <c r="B70" s="62">
        <v>98</v>
      </c>
      <c r="C70" s="63" t="s">
        <v>1</v>
      </c>
      <c r="D70" s="1" t="s">
        <v>111</v>
      </c>
      <c r="E70" s="64">
        <v>102</v>
      </c>
      <c r="F70" s="64">
        <v>136</v>
      </c>
      <c r="G70" s="64">
        <v>113</v>
      </c>
      <c r="H70" s="20"/>
      <c r="I70" s="20">
        <v>1</v>
      </c>
      <c r="K70" s="17"/>
    </row>
    <row r="71" spans="1:11" x14ac:dyDescent="0.2">
      <c r="A71" s="1">
        <v>2025</v>
      </c>
      <c r="B71" s="62">
        <v>99</v>
      </c>
      <c r="C71" s="63" t="s">
        <v>1</v>
      </c>
      <c r="D71" s="1" t="s">
        <v>111</v>
      </c>
      <c r="E71" s="64">
        <v>50</v>
      </c>
      <c r="F71" s="64">
        <v>108</v>
      </c>
      <c r="G71" s="64">
        <v>86</v>
      </c>
      <c r="H71" s="20"/>
      <c r="I71" s="20">
        <v>1</v>
      </c>
      <c r="K71" s="17"/>
    </row>
    <row r="72" spans="1:11" x14ac:dyDescent="0.2">
      <c r="H72" s="20"/>
      <c r="I72" s="20"/>
      <c r="K72" s="17"/>
    </row>
    <row r="73" spans="1:11" x14ac:dyDescent="0.2">
      <c r="H73" s="20"/>
      <c r="I73" s="20"/>
      <c r="K73" s="17"/>
    </row>
    <row r="74" spans="1:11" x14ac:dyDescent="0.2">
      <c r="H74" s="20"/>
      <c r="I74" s="20"/>
      <c r="K74" s="17"/>
    </row>
    <row r="75" spans="1:11" x14ac:dyDescent="0.2">
      <c r="J75" s="17"/>
      <c r="K75" s="18"/>
    </row>
    <row r="76" spans="1:11" x14ac:dyDescent="0.2">
      <c r="I76" s="17"/>
      <c r="J76" s="17"/>
      <c r="K76" s="17"/>
    </row>
    <row r="77" spans="1:11" x14ac:dyDescent="0.2">
      <c r="I77" s="17"/>
      <c r="J77" s="17"/>
      <c r="K77" s="17"/>
    </row>
    <row r="78" spans="1:11" x14ac:dyDescent="0.2">
      <c r="I78" s="17"/>
      <c r="J78" s="17"/>
      <c r="K78" s="17"/>
    </row>
    <row r="79" spans="1:11" x14ac:dyDescent="0.2">
      <c r="I79" s="17"/>
      <c r="J79" s="17"/>
      <c r="K79" s="17"/>
    </row>
    <row r="80" spans="1:11" x14ac:dyDescent="0.2">
      <c r="I80" s="17"/>
      <c r="J80" s="17"/>
      <c r="K80" s="17"/>
    </row>
    <row r="81" spans="9:11" x14ac:dyDescent="0.2">
      <c r="I81" s="17"/>
      <c r="J81" s="17"/>
      <c r="K81" s="17"/>
    </row>
    <row r="82" spans="9:11" x14ac:dyDescent="0.2">
      <c r="I82" s="17"/>
      <c r="J82" s="17"/>
      <c r="K82" s="16"/>
    </row>
    <row r="83" spans="9:11" x14ac:dyDescent="0.2">
      <c r="I83" s="11"/>
      <c r="J83" s="9"/>
      <c r="K83" s="15"/>
    </row>
    <row r="84" spans="9:11" x14ac:dyDescent="0.2">
      <c r="I84" s="11"/>
      <c r="J84" s="9"/>
      <c r="K84" s="15"/>
    </row>
    <row r="85" spans="9:11" x14ac:dyDescent="0.2">
      <c r="I85" s="11"/>
      <c r="J85" s="9"/>
      <c r="K85" s="15"/>
    </row>
    <row r="86" spans="9:11" x14ac:dyDescent="0.2">
      <c r="I86" s="11"/>
      <c r="J86" s="9"/>
      <c r="K86" s="15"/>
    </row>
    <row r="87" spans="9:11" x14ac:dyDescent="0.2">
      <c r="I87" s="11"/>
      <c r="J87" s="9"/>
      <c r="K87" s="15"/>
    </row>
    <row r="88" spans="9:11" x14ac:dyDescent="0.2">
      <c r="I88" s="11"/>
      <c r="J88" s="9"/>
      <c r="K88" s="15"/>
    </row>
    <row r="89" spans="9:11" x14ac:dyDescent="0.2">
      <c r="I89" s="11"/>
      <c r="J89" s="9"/>
      <c r="K89" s="15"/>
    </row>
    <row r="90" spans="9:11" x14ac:dyDescent="0.2">
      <c r="I90" s="11"/>
      <c r="J90" s="9"/>
      <c r="K90" s="15"/>
    </row>
    <row r="91" spans="9:11" x14ac:dyDescent="0.2">
      <c r="I91" s="11"/>
      <c r="J91" s="9"/>
      <c r="K91" s="15"/>
    </row>
    <row r="92" spans="9:11" x14ac:dyDescent="0.2">
      <c r="I92" s="11"/>
      <c r="J92" s="9"/>
      <c r="K92" s="15"/>
    </row>
    <row r="93" spans="9:11" x14ac:dyDescent="0.2">
      <c r="I93" s="11"/>
      <c r="J93" s="9"/>
      <c r="K93" s="15"/>
    </row>
    <row r="94" spans="9:11" x14ac:dyDescent="0.2">
      <c r="I94" s="11"/>
      <c r="J94" s="9"/>
      <c r="K94" s="15"/>
    </row>
    <row r="95" spans="9:11" x14ac:dyDescent="0.2">
      <c r="I95" s="11"/>
      <c r="J95" s="9"/>
      <c r="K95" s="15"/>
    </row>
    <row r="96" spans="9:11" x14ac:dyDescent="0.2">
      <c r="I96" s="11"/>
      <c r="J96" s="9"/>
      <c r="K96" s="15"/>
    </row>
    <row r="97" spans="2:11" x14ac:dyDescent="0.2">
      <c r="I97" s="11"/>
      <c r="J97" s="9"/>
      <c r="K97" s="15"/>
    </row>
    <row r="98" spans="2:11" x14ac:dyDescent="0.2">
      <c r="I98" s="11"/>
      <c r="J98" s="9"/>
      <c r="K98" s="15"/>
    </row>
    <row r="99" spans="2:11" x14ac:dyDescent="0.2">
      <c r="I99" s="11"/>
      <c r="J99" s="9"/>
      <c r="K99" s="15"/>
    </row>
    <row r="100" spans="2:11" x14ac:dyDescent="0.2">
      <c r="I100" s="11"/>
      <c r="J100" s="9"/>
      <c r="K100" s="15"/>
    </row>
    <row r="101" spans="2:11" x14ac:dyDescent="0.2">
      <c r="I101" s="11"/>
      <c r="J101" s="9"/>
      <c r="K101" s="15"/>
    </row>
    <row r="102" spans="2:11" x14ac:dyDescent="0.2">
      <c r="I102" s="11"/>
      <c r="J102" s="9"/>
      <c r="K102" s="15"/>
    </row>
    <row r="103" spans="2:11" x14ac:dyDescent="0.2">
      <c r="I103" s="11"/>
      <c r="J103" s="9"/>
      <c r="K103" s="15"/>
    </row>
    <row r="104" spans="2:11" x14ac:dyDescent="0.2">
      <c r="I104" s="11"/>
      <c r="J104" s="9"/>
      <c r="K104" s="15"/>
    </row>
    <row r="105" spans="2:11" x14ac:dyDescent="0.2">
      <c r="I105" s="11"/>
      <c r="J105" s="9"/>
      <c r="K105" s="15"/>
    </row>
    <row r="106" spans="2:11" x14ac:dyDescent="0.2">
      <c r="I106" s="11"/>
      <c r="J106" s="9"/>
      <c r="K106" s="15"/>
    </row>
    <row r="107" spans="2:11" x14ac:dyDescent="0.2">
      <c r="I107" s="11"/>
      <c r="J107" s="9"/>
      <c r="K107" s="15"/>
    </row>
    <row r="108" spans="2:11" x14ac:dyDescent="0.2">
      <c r="I108" s="11"/>
      <c r="J108" s="9"/>
      <c r="K108" s="15"/>
    </row>
    <row r="109" spans="2:11" x14ac:dyDescent="0.2">
      <c r="B109" s="14"/>
      <c r="C109" s="12"/>
      <c r="E109" s="11"/>
      <c r="F109" s="10"/>
      <c r="G109" s="10"/>
      <c r="H109" s="10"/>
      <c r="I109" s="11"/>
      <c r="J109" s="10"/>
      <c r="K109" s="8"/>
    </row>
    <row r="110" spans="2:11" x14ac:dyDescent="0.2">
      <c r="B110" s="14"/>
      <c r="C110" s="12"/>
      <c r="E110" s="11"/>
      <c r="F110" s="10"/>
      <c r="G110" s="10"/>
      <c r="H110" s="10"/>
      <c r="I110" s="11"/>
      <c r="J110" s="10"/>
      <c r="K110" s="8"/>
    </row>
    <row r="111" spans="2:11" x14ac:dyDescent="0.2">
      <c r="B111" s="13"/>
      <c r="C111" s="12"/>
      <c r="E111" s="11"/>
      <c r="F111" s="10"/>
      <c r="G111" s="10"/>
      <c r="H111" s="10"/>
      <c r="I111" s="11"/>
      <c r="J111" s="10"/>
      <c r="K111" s="8"/>
    </row>
    <row r="112" spans="2:11" x14ac:dyDescent="0.2">
      <c r="B112" s="13"/>
      <c r="C112" s="12"/>
      <c r="E112" s="11"/>
      <c r="F112" s="10"/>
      <c r="G112" s="10"/>
      <c r="H112" s="10"/>
      <c r="I112" s="11"/>
      <c r="J112" s="10"/>
      <c r="K112" s="8"/>
    </row>
    <row r="113" spans="2:11" x14ac:dyDescent="0.2">
      <c r="B113" s="13"/>
      <c r="C113" s="12"/>
      <c r="E113" s="11"/>
      <c r="F113" s="10"/>
      <c r="G113" s="10"/>
      <c r="H113" s="10"/>
      <c r="I113" s="11"/>
      <c r="J113" s="10"/>
      <c r="K113" s="8"/>
    </row>
    <row r="114" spans="2:11" x14ac:dyDescent="0.2">
      <c r="B114" s="13"/>
      <c r="C114" s="12"/>
      <c r="E114" s="11"/>
      <c r="F114" s="10"/>
      <c r="G114" s="10"/>
      <c r="H114" s="10"/>
      <c r="I114" s="11"/>
      <c r="J114" s="10"/>
      <c r="K114" s="8"/>
    </row>
    <row r="115" spans="2:11" x14ac:dyDescent="0.2">
      <c r="B115" s="13"/>
      <c r="C115" s="12"/>
      <c r="E115" s="11"/>
      <c r="F115" s="10"/>
      <c r="G115" s="10"/>
      <c r="H115" s="10"/>
      <c r="I115" s="11"/>
      <c r="J115" s="10"/>
      <c r="K115" s="8"/>
    </row>
    <row r="116" spans="2:11" x14ac:dyDescent="0.2">
      <c r="B116" s="13"/>
      <c r="C116" s="12"/>
      <c r="E116" s="11"/>
      <c r="F116" s="10"/>
      <c r="G116" s="10"/>
      <c r="H116" s="10"/>
      <c r="I116" s="11"/>
      <c r="J116" s="10"/>
      <c r="K116" s="8"/>
    </row>
    <row r="117" spans="2:11" x14ac:dyDescent="0.2">
      <c r="B117" s="13"/>
      <c r="C117" s="12"/>
      <c r="E117" s="11"/>
      <c r="F117" s="10"/>
      <c r="G117" s="10"/>
      <c r="H117" s="10"/>
      <c r="I117" s="11"/>
      <c r="J117" s="10"/>
      <c r="K117" s="8"/>
    </row>
    <row r="118" spans="2:11" x14ac:dyDescent="0.2">
      <c r="B118" s="13"/>
      <c r="C118" s="12"/>
      <c r="E118" s="11"/>
      <c r="F118" s="10"/>
      <c r="G118" s="10"/>
      <c r="H118" s="10"/>
      <c r="I118" s="11"/>
      <c r="J118" s="10"/>
      <c r="K118" s="8"/>
    </row>
    <row r="119" spans="2:11" x14ac:dyDescent="0.2">
      <c r="B119" s="13"/>
      <c r="C119" s="12"/>
      <c r="E119" s="11"/>
      <c r="F119" s="10"/>
      <c r="G119" s="10"/>
      <c r="H119" s="10"/>
      <c r="I119" s="11"/>
      <c r="J119" s="10"/>
      <c r="K119" s="8"/>
    </row>
    <row r="120" spans="2:11" x14ac:dyDescent="0.2">
      <c r="B120" s="13"/>
      <c r="C120" s="12"/>
      <c r="E120" s="11"/>
      <c r="F120" s="10"/>
      <c r="G120" s="10"/>
      <c r="H120" s="10"/>
      <c r="I120" s="11"/>
      <c r="J120" s="10"/>
      <c r="K120" s="8"/>
    </row>
    <row r="121" spans="2:11" x14ac:dyDescent="0.2">
      <c r="B121" s="13"/>
      <c r="C121" s="12"/>
      <c r="E121" s="11"/>
      <c r="F121" s="10"/>
      <c r="G121" s="10"/>
      <c r="H121" s="10"/>
      <c r="I121" s="11"/>
      <c r="J121" s="10"/>
      <c r="K121" s="8"/>
    </row>
    <row r="122" spans="2:11" x14ac:dyDescent="0.2">
      <c r="B122" s="13"/>
      <c r="C122" s="12"/>
      <c r="E122" s="11"/>
      <c r="F122" s="10"/>
      <c r="G122" s="10"/>
      <c r="H122" s="10"/>
      <c r="I122" s="11"/>
      <c r="J122" s="10"/>
      <c r="K122" s="8"/>
    </row>
    <row r="123" spans="2:11" x14ac:dyDescent="0.2">
      <c r="B123" s="13"/>
      <c r="C123" s="12"/>
      <c r="E123" s="11"/>
      <c r="F123" s="10"/>
      <c r="G123" s="10"/>
      <c r="H123" s="10"/>
      <c r="I123" s="11"/>
      <c r="J123" s="9"/>
      <c r="K123" s="8"/>
    </row>
    <row r="124" spans="2:11" x14ac:dyDescent="0.2">
      <c r="B124" s="7"/>
      <c r="C124" s="6"/>
      <c r="E124" s="5"/>
      <c r="F124" s="4"/>
      <c r="G124" s="4"/>
      <c r="H124" s="4"/>
      <c r="I124" s="5"/>
      <c r="J124" s="4"/>
      <c r="K12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E48F-12B8-1E48-A07E-26BAEADCBCBB}">
  <dimension ref="A1:K124"/>
  <sheetViews>
    <sheetView workbookViewId="0">
      <selection activeCell="H11" sqref="H11"/>
    </sheetView>
  </sheetViews>
  <sheetFormatPr baseColWidth="10" defaultRowHeight="15" x14ac:dyDescent="0.2"/>
  <cols>
    <col min="1" max="1" width="10.83203125" style="1"/>
    <col min="2" max="2" width="9.83203125" style="2" customWidth="1"/>
    <col min="3" max="3" width="11.5" style="1" customWidth="1"/>
    <col min="4" max="4" width="14.33203125" style="1" bestFit="1" customWidth="1"/>
    <col min="5" max="5" width="13.5" style="1" bestFit="1" customWidth="1"/>
    <col min="6" max="6" width="9.5" style="1" bestFit="1" customWidth="1"/>
    <col min="7" max="7" width="14.83203125" style="1" bestFit="1" customWidth="1"/>
    <col min="8" max="8" width="107.83203125" style="1" bestFit="1" customWidth="1"/>
    <col min="9" max="9" width="10.83203125" style="1" bestFit="1" customWidth="1"/>
    <col min="10" max="10" width="53.1640625" style="1" bestFit="1" customWidth="1"/>
    <col min="11" max="11" width="89.5" style="1" bestFit="1" customWidth="1"/>
    <col min="12" max="16384" width="10.83203125" style="1"/>
  </cols>
  <sheetData>
    <row r="1" spans="1:11" x14ac:dyDescent="0.2">
      <c r="A1" s="1" t="s">
        <v>209</v>
      </c>
      <c r="B1" s="2" t="s">
        <v>55</v>
      </c>
      <c r="C1" s="1" t="s">
        <v>244</v>
      </c>
      <c r="D1" s="1" t="s">
        <v>86</v>
      </c>
      <c r="E1" s="95" t="s">
        <v>57</v>
      </c>
      <c r="F1" s="95" t="s">
        <v>53</v>
      </c>
      <c r="G1" s="1" t="s">
        <v>52</v>
      </c>
      <c r="H1" s="1" t="s">
        <v>152</v>
      </c>
    </row>
    <row r="2" spans="1:11" x14ac:dyDescent="0.2">
      <c r="A2" s="1">
        <v>2024</v>
      </c>
      <c r="B2" s="96" t="s">
        <v>38</v>
      </c>
      <c r="C2" s="20" t="s">
        <v>1</v>
      </c>
      <c r="D2" s="1" t="s">
        <v>111</v>
      </c>
      <c r="E2" s="20">
        <v>116</v>
      </c>
      <c r="F2" s="20">
        <v>179</v>
      </c>
      <c r="G2" s="20">
        <v>169</v>
      </c>
    </row>
    <row r="3" spans="1:11" x14ac:dyDescent="0.2">
      <c r="A3" s="1">
        <v>2024</v>
      </c>
      <c r="B3" s="96" t="s">
        <v>37</v>
      </c>
      <c r="C3" s="20" t="s">
        <v>1</v>
      </c>
      <c r="D3" s="1" t="s">
        <v>103</v>
      </c>
      <c r="E3" s="20">
        <v>153</v>
      </c>
      <c r="F3" s="20">
        <v>154</v>
      </c>
      <c r="G3" s="20">
        <v>124</v>
      </c>
    </row>
    <row r="4" spans="1:11" x14ac:dyDescent="0.2">
      <c r="A4" s="1">
        <v>2024</v>
      </c>
      <c r="B4" s="96" t="s">
        <v>36</v>
      </c>
      <c r="C4" s="20" t="s">
        <v>1</v>
      </c>
      <c r="D4" s="1" t="s">
        <v>111</v>
      </c>
      <c r="E4" s="20">
        <v>171</v>
      </c>
      <c r="F4" s="20">
        <v>179</v>
      </c>
      <c r="G4" s="20">
        <v>144</v>
      </c>
      <c r="I4" s="20"/>
      <c r="K4" s="67"/>
    </row>
    <row r="5" spans="1:11" x14ac:dyDescent="0.2">
      <c r="A5" s="1">
        <v>2024</v>
      </c>
      <c r="B5" s="96" t="s">
        <v>35</v>
      </c>
      <c r="C5" s="20" t="s">
        <v>1</v>
      </c>
      <c r="D5" s="1" t="s">
        <v>111</v>
      </c>
      <c r="E5" s="20">
        <v>146</v>
      </c>
      <c r="F5" s="20">
        <v>167</v>
      </c>
      <c r="G5" s="20">
        <v>126</v>
      </c>
      <c r="I5" s="20"/>
      <c r="K5" s="67"/>
    </row>
    <row r="6" spans="1:11" x14ac:dyDescent="0.2">
      <c r="A6" s="1">
        <v>2024</v>
      </c>
      <c r="B6" s="96" t="s">
        <v>34</v>
      </c>
      <c r="C6" s="20" t="s">
        <v>1</v>
      </c>
      <c r="D6" s="1" t="s">
        <v>111</v>
      </c>
      <c r="E6" s="20">
        <v>164</v>
      </c>
      <c r="F6" s="20">
        <v>191</v>
      </c>
      <c r="G6" s="20">
        <v>159</v>
      </c>
      <c r="I6" s="20"/>
      <c r="K6" s="67"/>
    </row>
    <row r="7" spans="1:11" x14ac:dyDescent="0.2">
      <c r="A7" s="1">
        <v>2024</v>
      </c>
      <c r="B7" s="96" t="s">
        <v>33</v>
      </c>
      <c r="C7" s="20" t="s">
        <v>1</v>
      </c>
      <c r="D7" s="35" t="s">
        <v>103</v>
      </c>
      <c r="E7" s="20">
        <v>140</v>
      </c>
      <c r="F7" s="20">
        <v>164</v>
      </c>
      <c r="G7" s="20">
        <v>137</v>
      </c>
      <c r="I7" s="20"/>
      <c r="K7" s="67"/>
    </row>
    <row r="8" spans="1:11" x14ac:dyDescent="0.2">
      <c r="A8" s="1">
        <v>2024</v>
      </c>
      <c r="B8" s="96" t="s">
        <v>32</v>
      </c>
      <c r="C8" s="20" t="s">
        <v>1</v>
      </c>
      <c r="D8" s="1" t="s">
        <v>103</v>
      </c>
      <c r="E8" s="20">
        <v>167</v>
      </c>
      <c r="F8" s="20">
        <v>159</v>
      </c>
      <c r="G8" s="20">
        <v>118</v>
      </c>
      <c r="I8" s="20"/>
      <c r="K8" s="67"/>
    </row>
    <row r="9" spans="1:11" x14ac:dyDescent="0.2">
      <c r="A9" s="1">
        <v>2024</v>
      </c>
      <c r="B9" s="96" t="s">
        <v>31</v>
      </c>
      <c r="C9" s="20" t="s">
        <v>1</v>
      </c>
      <c r="D9" s="1" t="s">
        <v>103</v>
      </c>
      <c r="E9" s="20">
        <v>131</v>
      </c>
      <c r="F9" s="20">
        <v>191</v>
      </c>
      <c r="G9" s="20">
        <v>164</v>
      </c>
      <c r="I9" s="20"/>
      <c r="K9" s="67"/>
    </row>
    <row r="10" spans="1:11" x14ac:dyDescent="0.2">
      <c r="A10" s="1">
        <v>2024</v>
      </c>
      <c r="B10" s="96" t="s">
        <v>29</v>
      </c>
      <c r="C10" s="20" t="s">
        <v>1</v>
      </c>
      <c r="D10" s="1" t="s">
        <v>111</v>
      </c>
      <c r="E10" s="20">
        <v>153</v>
      </c>
      <c r="F10" s="20">
        <v>139</v>
      </c>
      <c r="G10" s="20">
        <v>102</v>
      </c>
      <c r="I10" s="20"/>
      <c r="K10" s="67"/>
    </row>
    <row r="11" spans="1:11" x14ac:dyDescent="0.2">
      <c r="A11" s="1">
        <v>2024</v>
      </c>
      <c r="B11" s="96" t="s">
        <v>28</v>
      </c>
      <c r="C11" s="20" t="s">
        <v>1</v>
      </c>
      <c r="D11" s="1" t="s">
        <v>111</v>
      </c>
      <c r="E11" s="20">
        <v>167</v>
      </c>
      <c r="F11" s="20">
        <v>151</v>
      </c>
      <c r="G11" s="20">
        <v>105</v>
      </c>
      <c r="I11" s="20"/>
      <c r="K11" s="67"/>
    </row>
    <row r="12" spans="1:11" x14ac:dyDescent="0.2">
      <c r="A12" s="1">
        <v>2024</v>
      </c>
      <c r="B12" s="97" t="s">
        <v>27</v>
      </c>
      <c r="C12" s="20" t="s">
        <v>1</v>
      </c>
      <c r="D12" s="1" t="s">
        <v>103</v>
      </c>
      <c r="E12" s="75">
        <v>121</v>
      </c>
      <c r="F12" s="75">
        <v>135</v>
      </c>
      <c r="G12" s="75">
        <v>116</v>
      </c>
      <c r="H12" s="98" t="s">
        <v>44</v>
      </c>
      <c r="I12" s="20"/>
      <c r="K12" s="67"/>
    </row>
    <row r="13" spans="1:11" x14ac:dyDescent="0.2">
      <c r="A13" s="1">
        <v>2024</v>
      </c>
      <c r="B13" s="96" t="s">
        <v>26</v>
      </c>
      <c r="C13" s="20" t="s">
        <v>1</v>
      </c>
      <c r="D13" s="1" t="s">
        <v>111</v>
      </c>
      <c r="E13" s="20">
        <v>118</v>
      </c>
      <c r="F13" s="20">
        <v>148</v>
      </c>
      <c r="G13" s="20">
        <v>126</v>
      </c>
      <c r="I13" s="20"/>
      <c r="K13" s="67"/>
    </row>
    <row r="14" spans="1:11" x14ac:dyDescent="0.2">
      <c r="A14" s="1">
        <v>2024</v>
      </c>
      <c r="B14" s="96" t="s">
        <v>24</v>
      </c>
      <c r="C14" s="20" t="s">
        <v>1</v>
      </c>
      <c r="D14" s="1" t="s">
        <v>103</v>
      </c>
      <c r="E14" s="20">
        <v>133</v>
      </c>
      <c r="F14" s="20">
        <v>120</v>
      </c>
      <c r="G14" s="20">
        <v>79</v>
      </c>
      <c r="I14" s="20"/>
      <c r="K14" s="67"/>
    </row>
    <row r="15" spans="1:11" x14ac:dyDescent="0.2">
      <c r="A15" s="1">
        <v>2024</v>
      </c>
      <c r="B15" s="96" t="s">
        <v>23</v>
      </c>
      <c r="C15" s="20" t="s">
        <v>1</v>
      </c>
      <c r="D15" s="1" t="s">
        <v>103</v>
      </c>
      <c r="E15" s="20">
        <v>151</v>
      </c>
      <c r="F15" s="20">
        <v>146</v>
      </c>
      <c r="G15" s="20">
        <v>109</v>
      </c>
      <c r="I15" s="20"/>
      <c r="K15" s="67"/>
    </row>
    <row r="16" spans="1:11" x14ac:dyDescent="0.2">
      <c r="A16" s="1">
        <v>2024</v>
      </c>
      <c r="B16" s="96" t="s">
        <v>22</v>
      </c>
      <c r="C16" s="20" t="s">
        <v>1</v>
      </c>
      <c r="D16" s="1" t="s">
        <v>103</v>
      </c>
      <c r="E16" s="20">
        <v>185</v>
      </c>
      <c r="F16" s="20">
        <v>164</v>
      </c>
      <c r="G16" s="20">
        <v>123</v>
      </c>
      <c r="I16" s="20"/>
      <c r="K16" s="67"/>
    </row>
    <row r="17" spans="1:11" x14ac:dyDescent="0.2">
      <c r="A17" s="1">
        <v>2024</v>
      </c>
      <c r="B17" s="96" t="s">
        <v>21</v>
      </c>
      <c r="C17" s="20" t="s">
        <v>1</v>
      </c>
      <c r="D17" s="1" t="s">
        <v>111</v>
      </c>
      <c r="E17" s="20">
        <v>151</v>
      </c>
      <c r="F17" s="20">
        <v>120</v>
      </c>
      <c r="G17" s="20">
        <v>70</v>
      </c>
      <c r="I17" s="75"/>
      <c r="K17" s="68"/>
    </row>
    <row r="18" spans="1:11" x14ac:dyDescent="0.2">
      <c r="A18" s="1">
        <v>2024</v>
      </c>
      <c r="B18" s="96" t="s">
        <v>19</v>
      </c>
      <c r="C18" s="20" t="s">
        <v>1</v>
      </c>
      <c r="D18" s="1" t="s">
        <v>111</v>
      </c>
      <c r="E18" s="20">
        <v>167</v>
      </c>
      <c r="F18" s="20">
        <v>177</v>
      </c>
      <c r="G18" s="20">
        <v>153</v>
      </c>
      <c r="I18" s="20"/>
      <c r="K18" s="67"/>
    </row>
    <row r="19" spans="1:11" x14ac:dyDescent="0.2">
      <c r="A19" s="1">
        <v>2024</v>
      </c>
      <c r="B19" s="96" t="s">
        <v>18</v>
      </c>
      <c r="C19" s="20" t="s">
        <v>1</v>
      </c>
      <c r="D19" s="1" t="s">
        <v>111</v>
      </c>
      <c r="E19" s="20">
        <v>64</v>
      </c>
      <c r="F19" s="20">
        <v>127</v>
      </c>
      <c r="G19" s="20">
        <v>109</v>
      </c>
      <c r="I19" s="20"/>
      <c r="K19" s="67"/>
    </row>
    <row r="20" spans="1:11" x14ac:dyDescent="0.2">
      <c r="A20" s="1">
        <v>2024</v>
      </c>
      <c r="B20" s="96" t="s">
        <v>17</v>
      </c>
      <c r="C20" s="20" t="s">
        <v>1</v>
      </c>
      <c r="D20" s="1" t="s">
        <v>111</v>
      </c>
      <c r="E20" s="20">
        <v>140</v>
      </c>
      <c r="F20" s="20">
        <v>132</v>
      </c>
      <c r="G20" s="20">
        <v>111</v>
      </c>
      <c r="I20" s="20"/>
      <c r="K20" s="67"/>
    </row>
    <row r="21" spans="1:11" x14ac:dyDescent="0.2">
      <c r="A21" s="1">
        <v>2024</v>
      </c>
      <c r="B21" s="96" t="s">
        <v>16</v>
      </c>
      <c r="C21" s="20" t="s">
        <v>1</v>
      </c>
      <c r="D21" s="1" t="s">
        <v>103</v>
      </c>
      <c r="E21" s="20">
        <v>139</v>
      </c>
      <c r="F21" s="20">
        <v>155</v>
      </c>
      <c r="G21" s="20">
        <v>145</v>
      </c>
      <c r="I21" s="20"/>
      <c r="K21" s="67"/>
    </row>
    <row r="22" spans="1:11" x14ac:dyDescent="0.2">
      <c r="A22" s="1">
        <v>2024</v>
      </c>
      <c r="B22" s="96" t="s">
        <v>14</v>
      </c>
      <c r="C22" s="20" t="s">
        <v>1</v>
      </c>
      <c r="D22" s="1" t="s">
        <v>103</v>
      </c>
      <c r="E22" s="20">
        <v>69</v>
      </c>
      <c r="F22" s="20">
        <v>127</v>
      </c>
      <c r="G22" s="20">
        <v>110</v>
      </c>
      <c r="I22" s="20"/>
      <c r="K22" s="67"/>
    </row>
    <row r="23" spans="1:11" x14ac:dyDescent="0.2">
      <c r="A23" s="1">
        <v>2024</v>
      </c>
      <c r="B23" s="96" t="s">
        <v>13</v>
      </c>
      <c r="C23" s="20" t="s">
        <v>1</v>
      </c>
      <c r="D23" s="35" t="s">
        <v>111</v>
      </c>
      <c r="E23" s="20">
        <v>128</v>
      </c>
      <c r="F23" s="20">
        <v>145</v>
      </c>
      <c r="G23" s="20"/>
      <c r="I23" s="20"/>
      <c r="K23" s="67"/>
    </row>
    <row r="24" spans="1:11" x14ac:dyDescent="0.2">
      <c r="A24" s="1">
        <v>2024</v>
      </c>
      <c r="B24" s="97" t="s">
        <v>12</v>
      </c>
      <c r="C24" s="20" t="s">
        <v>1</v>
      </c>
      <c r="D24" s="1" t="s">
        <v>103</v>
      </c>
      <c r="E24" s="75">
        <v>99</v>
      </c>
      <c r="F24" s="75">
        <v>129</v>
      </c>
      <c r="G24" s="75">
        <v>112</v>
      </c>
      <c r="I24" s="20"/>
      <c r="K24" s="67"/>
    </row>
    <row r="25" spans="1:11" x14ac:dyDescent="0.2">
      <c r="A25" s="1">
        <v>2024</v>
      </c>
      <c r="B25" s="96" t="s">
        <v>11</v>
      </c>
      <c r="C25" s="20" t="s">
        <v>1</v>
      </c>
      <c r="D25" s="1" t="s">
        <v>103</v>
      </c>
      <c r="E25" s="20">
        <v>78</v>
      </c>
      <c r="F25" s="20">
        <v>138</v>
      </c>
      <c r="G25" s="20">
        <v>103</v>
      </c>
      <c r="H25" s="1" t="s">
        <v>42</v>
      </c>
      <c r="I25" s="20"/>
      <c r="K25" s="67"/>
    </row>
    <row r="26" spans="1:11" x14ac:dyDescent="0.2">
      <c r="A26" s="1">
        <v>2024</v>
      </c>
      <c r="B26" s="96" t="s">
        <v>10</v>
      </c>
      <c r="C26" s="20" t="s">
        <v>1</v>
      </c>
      <c r="D26" s="1" t="s">
        <v>111</v>
      </c>
      <c r="E26" s="20">
        <v>139</v>
      </c>
      <c r="F26" s="20">
        <v>157</v>
      </c>
      <c r="G26" s="20">
        <v>115</v>
      </c>
      <c r="I26" s="20"/>
      <c r="K26" s="67"/>
    </row>
    <row r="27" spans="1:11" x14ac:dyDescent="0.2">
      <c r="A27" s="1">
        <v>2024</v>
      </c>
      <c r="B27" s="96" t="s">
        <v>9</v>
      </c>
      <c r="C27" s="20" t="s">
        <v>1</v>
      </c>
      <c r="D27" s="1" t="s">
        <v>103</v>
      </c>
      <c r="E27" s="20">
        <v>120</v>
      </c>
      <c r="F27" s="20">
        <v>123</v>
      </c>
      <c r="G27" s="20">
        <v>91</v>
      </c>
      <c r="H27" s="98" t="s">
        <v>44</v>
      </c>
      <c r="I27" s="20"/>
      <c r="K27" s="67"/>
    </row>
    <row r="28" spans="1:11" x14ac:dyDescent="0.2">
      <c r="A28" s="1">
        <v>2024</v>
      </c>
      <c r="B28" s="96" t="s">
        <v>8</v>
      </c>
      <c r="C28" s="20" t="s">
        <v>1</v>
      </c>
      <c r="D28" s="1" t="s">
        <v>111</v>
      </c>
      <c r="E28" s="20">
        <v>167</v>
      </c>
      <c r="F28" s="20">
        <v>154</v>
      </c>
      <c r="G28" s="20">
        <v>96</v>
      </c>
      <c r="I28" s="20"/>
      <c r="K28" s="67"/>
    </row>
    <row r="29" spans="1:11" x14ac:dyDescent="0.2">
      <c r="A29" s="1">
        <v>2024</v>
      </c>
      <c r="B29" s="96" t="s">
        <v>7</v>
      </c>
      <c r="C29" s="20" t="s">
        <v>1</v>
      </c>
      <c r="D29" s="1" t="s">
        <v>111</v>
      </c>
      <c r="E29" s="20">
        <v>68</v>
      </c>
      <c r="F29" s="20">
        <v>97</v>
      </c>
      <c r="G29" s="20">
        <v>72</v>
      </c>
      <c r="I29" s="20"/>
      <c r="K29" s="67"/>
    </row>
    <row r="30" spans="1:11" x14ac:dyDescent="0.2">
      <c r="A30" s="1">
        <v>2024</v>
      </c>
      <c r="B30" s="96" t="s">
        <v>6</v>
      </c>
      <c r="C30" s="20" t="s">
        <v>1</v>
      </c>
      <c r="D30" s="1" t="s">
        <v>103</v>
      </c>
      <c r="E30" s="20">
        <v>211</v>
      </c>
      <c r="F30" s="20">
        <v>169</v>
      </c>
      <c r="G30" s="20">
        <v>127</v>
      </c>
      <c r="I30" s="75"/>
      <c r="K30" s="68"/>
    </row>
    <row r="31" spans="1:11" x14ac:dyDescent="0.2">
      <c r="A31" s="1">
        <v>2024</v>
      </c>
      <c r="B31" s="96" t="s">
        <v>5</v>
      </c>
      <c r="C31" s="20" t="s">
        <v>1</v>
      </c>
      <c r="D31" s="1" t="s">
        <v>111</v>
      </c>
      <c r="E31" s="20">
        <v>179</v>
      </c>
      <c r="F31" s="20">
        <v>163</v>
      </c>
      <c r="G31" s="20">
        <v>136</v>
      </c>
      <c r="I31" s="20"/>
      <c r="K31" s="67"/>
    </row>
    <row r="32" spans="1:11" x14ac:dyDescent="0.2">
      <c r="A32" s="1">
        <v>2024</v>
      </c>
      <c r="B32" s="96" t="s">
        <v>4</v>
      </c>
      <c r="C32" s="20" t="s">
        <v>1</v>
      </c>
      <c r="D32" s="1" t="s">
        <v>111</v>
      </c>
      <c r="E32" s="20">
        <v>190</v>
      </c>
      <c r="F32" s="20">
        <v>162</v>
      </c>
      <c r="G32" s="20">
        <v>127</v>
      </c>
      <c r="I32" s="20"/>
      <c r="K32" s="67"/>
    </row>
    <row r="33" spans="1:11" x14ac:dyDescent="0.2">
      <c r="A33" s="1">
        <v>2024</v>
      </c>
      <c r="B33" s="96" t="s">
        <v>3</v>
      </c>
      <c r="C33" s="20" t="s">
        <v>1</v>
      </c>
      <c r="D33" s="1" t="s">
        <v>103</v>
      </c>
      <c r="E33" s="20">
        <v>150</v>
      </c>
      <c r="F33" s="20">
        <v>165</v>
      </c>
      <c r="G33" s="20">
        <v>128</v>
      </c>
      <c r="I33" s="20"/>
      <c r="K33" s="59"/>
    </row>
    <row r="34" spans="1:11" ht="16" thickBot="1" x14ac:dyDescent="0.25">
      <c r="A34" s="94">
        <v>2024</v>
      </c>
      <c r="B34" s="101" t="s">
        <v>2</v>
      </c>
      <c r="C34" s="102" t="s">
        <v>1</v>
      </c>
      <c r="D34" s="94" t="s">
        <v>103</v>
      </c>
      <c r="E34" s="102">
        <v>116</v>
      </c>
      <c r="F34" s="102">
        <v>140</v>
      </c>
      <c r="G34" s="102">
        <v>84</v>
      </c>
      <c r="H34" s="94" t="s">
        <v>39</v>
      </c>
      <c r="I34" s="75"/>
      <c r="K34" s="69"/>
    </row>
    <row r="35" spans="1:11" x14ac:dyDescent="0.2">
      <c r="A35" s="1">
        <v>2025</v>
      </c>
      <c r="B35" s="62">
        <v>27</v>
      </c>
      <c r="C35" s="63" t="s">
        <v>1</v>
      </c>
      <c r="D35" s="1" t="s">
        <v>103</v>
      </c>
      <c r="E35" s="64">
        <v>130</v>
      </c>
      <c r="F35" s="64">
        <v>130</v>
      </c>
      <c r="G35" s="64">
        <v>114</v>
      </c>
      <c r="I35" s="20"/>
      <c r="K35" s="59"/>
    </row>
    <row r="36" spans="1:11" x14ac:dyDescent="0.2">
      <c r="A36" s="1">
        <v>2025</v>
      </c>
      <c r="B36" s="62">
        <v>28</v>
      </c>
      <c r="C36" s="63" t="s">
        <v>1</v>
      </c>
      <c r="D36" s="1" t="s">
        <v>103</v>
      </c>
      <c r="E36" s="64">
        <v>154</v>
      </c>
      <c r="F36" s="64">
        <v>155</v>
      </c>
      <c r="G36" s="64">
        <v>136</v>
      </c>
      <c r="I36" s="20"/>
      <c r="K36" s="59"/>
    </row>
    <row r="37" spans="1:11" x14ac:dyDescent="0.2">
      <c r="A37" s="1">
        <v>2025</v>
      </c>
      <c r="B37" s="62">
        <v>44</v>
      </c>
      <c r="C37" s="63" t="s">
        <v>1</v>
      </c>
      <c r="D37" s="1" t="s">
        <v>103</v>
      </c>
      <c r="E37" s="64">
        <v>111</v>
      </c>
      <c r="F37" s="64">
        <v>86</v>
      </c>
      <c r="G37" s="64">
        <v>69</v>
      </c>
      <c r="I37" s="20"/>
      <c r="K37" s="59"/>
    </row>
    <row r="38" spans="1:11" x14ac:dyDescent="0.2">
      <c r="A38" s="1">
        <v>2025</v>
      </c>
      <c r="B38" s="62">
        <v>46</v>
      </c>
      <c r="C38" s="63" t="s">
        <v>1</v>
      </c>
      <c r="D38" s="1" t="s">
        <v>111</v>
      </c>
      <c r="E38" s="64">
        <v>129</v>
      </c>
      <c r="F38" s="64">
        <v>135</v>
      </c>
      <c r="G38" s="64">
        <v>125</v>
      </c>
      <c r="H38" s="20"/>
      <c r="I38" s="20"/>
      <c r="K38" s="59"/>
    </row>
    <row r="39" spans="1:11" x14ac:dyDescent="0.2">
      <c r="A39" s="1">
        <v>2025</v>
      </c>
      <c r="B39" s="62">
        <v>48</v>
      </c>
      <c r="C39" s="63" t="s">
        <v>1</v>
      </c>
      <c r="D39" s="1" t="s">
        <v>103</v>
      </c>
      <c r="E39" s="64">
        <v>129</v>
      </c>
      <c r="F39" s="64">
        <v>109</v>
      </c>
      <c r="G39" s="64">
        <v>109</v>
      </c>
      <c r="H39" s="20"/>
      <c r="I39" s="20"/>
      <c r="K39" s="59"/>
    </row>
    <row r="40" spans="1:11" x14ac:dyDescent="0.2">
      <c r="A40" s="1">
        <v>2025</v>
      </c>
      <c r="B40" s="62">
        <v>61</v>
      </c>
      <c r="C40" s="63" t="s">
        <v>1</v>
      </c>
      <c r="D40" s="1" t="s">
        <v>103</v>
      </c>
      <c r="E40" s="64">
        <v>104</v>
      </c>
      <c r="F40" s="64">
        <v>103</v>
      </c>
      <c r="G40" s="64">
        <v>78</v>
      </c>
      <c r="I40" s="20"/>
      <c r="K40" s="67"/>
    </row>
    <row r="41" spans="1:11" x14ac:dyDescent="0.2">
      <c r="A41" s="1">
        <v>2025</v>
      </c>
      <c r="B41" s="62">
        <v>62</v>
      </c>
      <c r="C41" s="63" t="s">
        <v>1</v>
      </c>
      <c r="D41" s="1" t="s">
        <v>103</v>
      </c>
      <c r="E41" s="64">
        <v>124</v>
      </c>
      <c r="F41" s="64">
        <v>90</v>
      </c>
      <c r="G41" s="64">
        <v>88</v>
      </c>
      <c r="I41" s="20"/>
      <c r="K41" s="67"/>
    </row>
    <row r="42" spans="1:11" x14ac:dyDescent="0.2">
      <c r="A42" s="1">
        <v>2025</v>
      </c>
      <c r="B42" s="62">
        <v>63</v>
      </c>
      <c r="C42" s="63" t="s">
        <v>1</v>
      </c>
      <c r="D42" s="1" t="s">
        <v>111</v>
      </c>
      <c r="E42" s="64">
        <v>127</v>
      </c>
      <c r="F42" s="64">
        <v>132</v>
      </c>
      <c r="G42" s="64">
        <v>149</v>
      </c>
      <c r="I42" s="20"/>
      <c r="K42" s="67"/>
    </row>
    <row r="43" spans="1:11" x14ac:dyDescent="0.2">
      <c r="A43" s="1">
        <v>2025</v>
      </c>
      <c r="B43" s="62">
        <v>71</v>
      </c>
      <c r="C43" s="63" t="s">
        <v>1</v>
      </c>
      <c r="D43" s="1" t="s">
        <v>103</v>
      </c>
      <c r="E43" s="64">
        <v>158</v>
      </c>
      <c r="F43" s="64">
        <v>134</v>
      </c>
      <c r="G43" s="64">
        <v>110</v>
      </c>
      <c r="I43" s="20"/>
      <c r="K43" s="67"/>
    </row>
    <row r="44" spans="1:11" x14ac:dyDescent="0.2">
      <c r="A44" s="1">
        <v>2025</v>
      </c>
      <c r="B44" s="62">
        <v>73</v>
      </c>
      <c r="C44" s="63" t="s">
        <v>1</v>
      </c>
      <c r="D44" s="1" t="s">
        <v>111</v>
      </c>
      <c r="E44" s="64">
        <v>130</v>
      </c>
      <c r="F44" s="64">
        <v>125</v>
      </c>
      <c r="G44" s="64">
        <v>107</v>
      </c>
      <c r="I44" s="20"/>
      <c r="K44" s="67"/>
    </row>
    <row r="45" spans="1:11" x14ac:dyDescent="0.2">
      <c r="A45" s="1">
        <v>2025</v>
      </c>
      <c r="B45" s="62">
        <v>74</v>
      </c>
      <c r="C45" s="63" t="s">
        <v>1</v>
      </c>
      <c r="D45" s="1" t="s">
        <v>103</v>
      </c>
      <c r="E45" s="64">
        <v>141</v>
      </c>
      <c r="F45" s="64">
        <v>113</v>
      </c>
      <c r="G45" s="64">
        <v>94</v>
      </c>
      <c r="I45" s="20"/>
      <c r="K45" s="67"/>
    </row>
    <row r="46" spans="1:11" x14ac:dyDescent="0.2">
      <c r="A46" s="1">
        <v>2025</v>
      </c>
      <c r="B46" s="62">
        <v>75</v>
      </c>
      <c r="C46" s="63" t="s">
        <v>1</v>
      </c>
      <c r="D46" s="1" t="s">
        <v>103</v>
      </c>
      <c r="E46" s="64">
        <v>86</v>
      </c>
      <c r="F46" s="64">
        <v>69</v>
      </c>
      <c r="G46" s="64">
        <v>109</v>
      </c>
      <c r="I46" s="20"/>
      <c r="K46" s="67"/>
    </row>
    <row r="47" spans="1:11" x14ac:dyDescent="0.2">
      <c r="A47" s="1">
        <v>2025</v>
      </c>
      <c r="B47" s="62">
        <v>76</v>
      </c>
      <c r="C47" s="63" t="s">
        <v>1</v>
      </c>
      <c r="D47" s="1" t="s">
        <v>103</v>
      </c>
      <c r="E47" s="64">
        <v>37</v>
      </c>
      <c r="F47" s="64">
        <v>117</v>
      </c>
      <c r="G47" s="64">
        <v>108</v>
      </c>
      <c r="H47" s="20"/>
      <c r="I47" s="20"/>
      <c r="K47" s="70"/>
    </row>
    <row r="48" spans="1:11" x14ac:dyDescent="0.2">
      <c r="A48" s="1">
        <v>2025</v>
      </c>
      <c r="B48" s="62">
        <v>78</v>
      </c>
      <c r="C48" s="63" t="s">
        <v>1</v>
      </c>
      <c r="D48" s="1" t="s">
        <v>103</v>
      </c>
      <c r="E48" s="64">
        <v>142</v>
      </c>
      <c r="F48" s="64">
        <v>117</v>
      </c>
      <c r="G48" s="64">
        <v>90</v>
      </c>
      <c r="I48" s="20"/>
      <c r="K48" s="59"/>
    </row>
    <row r="49" spans="1:11" x14ac:dyDescent="0.2">
      <c r="A49" s="1">
        <v>2025</v>
      </c>
      <c r="B49" s="62">
        <v>96</v>
      </c>
      <c r="C49" s="63" t="s">
        <v>1</v>
      </c>
      <c r="D49" s="1" t="s">
        <v>103</v>
      </c>
      <c r="E49" s="64">
        <v>169</v>
      </c>
      <c r="F49" s="64">
        <v>131</v>
      </c>
      <c r="G49" s="64">
        <v>119</v>
      </c>
      <c r="I49" s="20"/>
      <c r="K49" s="59"/>
    </row>
    <row r="50" spans="1:11" ht="16" thickBot="1" x14ac:dyDescent="0.25">
      <c r="A50" s="93">
        <v>2025</v>
      </c>
      <c r="B50" s="104">
        <v>97</v>
      </c>
      <c r="C50" s="105" t="s">
        <v>1</v>
      </c>
      <c r="D50" s="93" t="s">
        <v>103</v>
      </c>
      <c r="E50" s="106">
        <v>111</v>
      </c>
      <c r="F50" s="106">
        <v>130</v>
      </c>
      <c r="G50" s="106">
        <v>90</v>
      </c>
      <c r="H50" s="100"/>
      <c r="I50" s="20"/>
      <c r="K50" s="59"/>
    </row>
    <row r="51" spans="1:11" x14ac:dyDescent="0.2">
      <c r="A51" s="1">
        <v>2024</v>
      </c>
      <c r="B51" s="96" t="s">
        <v>38</v>
      </c>
      <c r="C51" s="1" t="s">
        <v>0</v>
      </c>
      <c r="D51" s="1" t="s">
        <v>111</v>
      </c>
      <c r="E51" s="20">
        <v>130</v>
      </c>
      <c r="F51" s="20">
        <v>156</v>
      </c>
      <c r="G51" s="20">
        <v>136</v>
      </c>
      <c r="H51" s="20"/>
      <c r="I51" s="20"/>
      <c r="K51" s="59"/>
    </row>
    <row r="52" spans="1:11" x14ac:dyDescent="0.2">
      <c r="A52" s="1">
        <v>2024</v>
      </c>
      <c r="B52" s="96" t="s">
        <v>37</v>
      </c>
      <c r="C52" s="1" t="s">
        <v>0</v>
      </c>
      <c r="D52" s="1" t="s">
        <v>103</v>
      </c>
      <c r="E52" s="20">
        <v>163</v>
      </c>
      <c r="F52" s="20">
        <v>156</v>
      </c>
      <c r="G52" s="20">
        <v>124</v>
      </c>
      <c r="H52" s="20"/>
      <c r="I52" s="20"/>
      <c r="K52" s="59"/>
    </row>
    <row r="53" spans="1:11" x14ac:dyDescent="0.2">
      <c r="A53" s="1">
        <v>2024</v>
      </c>
      <c r="B53" s="96" t="s">
        <v>36</v>
      </c>
      <c r="C53" s="1" t="s">
        <v>0</v>
      </c>
      <c r="D53" s="1" t="s">
        <v>111</v>
      </c>
      <c r="E53" s="20">
        <v>194</v>
      </c>
      <c r="F53" s="20">
        <v>146</v>
      </c>
      <c r="G53" s="20">
        <v>135</v>
      </c>
      <c r="H53" s="20"/>
      <c r="I53" s="20"/>
      <c r="K53" s="59"/>
    </row>
    <row r="54" spans="1:11" x14ac:dyDescent="0.2">
      <c r="A54" s="1">
        <v>2024</v>
      </c>
      <c r="B54" s="96" t="s">
        <v>35</v>
      </c>
      <c r="C54" s="1" t="s">
        <v>0</v>
      </c>
      <c r="D54" s="1" t="s">
        <v>111</v>
      </c>
      <c r="E54" s="20">
        <v>174</v>
      </c>
      <c r="F54" s="20">
        <v>175</v>
      </c>
      <c r="G54" s="20">
        <v>136</v>
      </c>
      <c r="H54" s="20"/>
      <c r="I54" s="20"/>
      <c r="K54" s="59"/>
    </row>
    <row r="55" spans="1:11" x14ac:dyDescent="0.2">
      <c r="A55" s="1">
        <v>2024</v>
      </c>
      <c r="B55" s="96" t="s">
        <v>34</v>
      </c>
      <c r="C55" s="1" t="s">
        <v>0</v>
      </c>
      <c r="D55" s="103" t="s">
        <v>111</v>
      </c>
      <c r="E55" s="20">
        <v>183</v>
      </c>
      <c r="F55" s="20">
        <v>188</v>
      </c>
      <c r="G55" s="20">
        <v>155</v>
      </c>
      <c r="H55" s="20" t="s">
        <v>245</v>
      </c>
      <c r="I55" s="20"/>
      <c r="K55" s="65"/>
    </row>
    <row r="56" spans="1:11" x14ac:dyDescent="0.2">
      <c r="A56" s="1">
        <v>2024</v>
      </c>
      <c r="B56" s="96" t="s">
        <v>33</v>
      </c>
      <c r="C56" s="1" t="s">
        <v>0</v>
      </c>
      <c r="D56" s="35" t="s">
        <v>103</v>
      </c>
      <c r="E56" s="20">
        <v>167</v>
      </c>
      <c r="F56" s="20">
        <v>170</v>
      </c>
      <c r="G56" s="20">
        <v>150</v>
      </c>
      <c r="H56" s="20"/>
      <c r="I56" s="20"/>
      <c r="K56" s="59"/>
    </row>
    <row r="57" spans="1:11" x14ac:dyDescent="0.2">
      <c r="A57" s="1">
        <v>2024</v>
      </c>
      <c r="B57" s="96" t="s">
        <v>32</v>
      </c>
      <c r="C57" s="1" t="s">
        <v>0</v>
      </c>
      <c r="D57" s="1" t="s">
        <v>103</v>
      </c>
      <c r="E57" s="20">
        <v>181</v>
      </c>
      <c r="F57" s="20">
        <v>158</v>
      </c>
      <c r="G57" s="20">
        <v>168</v>
      </c>
      <c r="I57" s="20"/>
      <c r="K57" s="59"/>
    </row>
    <row r="58" spans="1:11" x14ac:dyDescent="0.2">
      <c r="A58" s="1">
        <v>2024</v>
      </c>
      <c r="B58" s="96" t="s">
        <v>31</v>
      </c>
      <c r="C58" s="1" t="s">
        <v>0</v>
      </c>
      <c r="D58" s="1" t="s">
        <v>103</v>
      </c>
      <c r="E58" s="20">
        <v>159</v>
      </c>
      <c r="F58" s="20">
        <v>190</v>
      </c>
      <c r="G58" s="20">
        <v>162</v>
      </c>
      <c r="H58" s="20"/>
      <c r="I58" s="20"/>
      <c r="K58" s="59"/>
    </row>
    <row r="59" spans="1:11" x14ac:dyDescent="0.2">
      <c r="A59" s="1">
        <v>2024</v>
      </c>
      <c r="B59" s="96" t="s">
        <v>29</v>
      </c>
      <c r="C59" s="1" t="s">
        <v>0</v>
      </c>
      <c r="D59" s="1" t="s">
        <v>111</v>
      </c>
      <c r="E59" s="20">
        <v>170</v>
      </c>
      <c r="F59" s="20">
        <v>145</v>
      </c>
      <c r="G59" s="20">
        <v>110</v>
      </c>
      <c r="H59" s="20"/>
      <c r="I59" s="20"/>
      <c r="K59" s="59"/>
    </row>
    <row r="60" spans="1:11" x14ac:dyDescent="0.2">
      <c r="A60" s="1">
        <v>2024</v>
      </c>
      <c r="B60" s="96" t="s">
        <v>28</v>
      </c>
      <c r="C60" s="1" t="s">
        <v>0</v>
      </c>
      <c r="D60" s="1" t="s">
        <v>111</v>
      </c>
      <c r="E60" s="20">
        <v>186</v>
      </c>
      <c r="F60" s="20">
        <v>155</v>
      </c>
      <c r="G60" s="20">
        <v>114</v>
      </c>
      <c r="H60" s="20"/>
      <c r="I60" s="20"/>
      <c r="K60" s="59"/>
    </row>
    <row r="61" spans="1:11" x14ac:dyDescent="0.2">
      <c r="A61" s="1">
        <v>2024</v>
      </c>
      <c r="B61" s="96" t="s">
        <v>27</v>
      </c>
      <c r="C61" s="1" t="s">
        <v>0</v>
      </c>
      <c r="D61" s="1" t="s">
        <v>103</v>
      </c>
      <c r="E61" s="20">
        <v>143</v>
      </c>
      <c r="F61" s="20">
        <v>138</v>
      </c>
      <c r="G61" s="20">
        <v>115</v>
      </c>
      <c r="H61" s="20"/>
      <c r="I61" s="20"/>
      <c r="K61" s="59"/>
    </row>
    <row r="62" spans="1:11" x14ac:dyDescent="0.2">
      <c r="A62" s="1">
        <v>2024</v>
      </c>
      <c r="B62" s="96" t="s">
        <v>26</v>
      </c>
      <c r="C62" s="1" t="s">
        <v>0</v>
      </c>
      <c r="D62" s="1" t="s">
        <v>111</v>
      </c>
      <c r="E62" s="20">
        <v>173</v>
      </c>
      <c r="F62" s="20">
        <v>180</v>
      </c>
      <c r="G62" s="20">
        <v>120</v>
      </c>
      <c r="H62" s="20" t="s">
        <v>25</v>
      </c>
      <c r="I62" s="20"/>
      <c r="K62" s="59"/>
    </row>
    <row r="63" spans="1:11" x14ac:dyDescent="0.2">
      <c r="A63" s="1">
        <v>2024</v>
      </c>
      <c r="B63" s="96" t="s">
        <v>24</v>
      </c>
      <c r="C63" s="1" t="s">
        <v>0</v>
      </c>
      <c r="D63" s="1" t="s">
        <v>103</v>
      </c>
      <c r="E63" s="20">
        <v>175</v>
      </c>
      <c r="F63" s="20">
        <v>130</v>
      </c>
      <c r="G63" s="20">
        <v>83</v>
      </c>
      <c r="H63" s="20"/>
      <c r="I63" s="20"/>
      <c r="K63" s="59"/>
    </row>
    <row r="64" spans="1:11" x14ac:dyDescent="0.2">
      <c r="A64" s="1">
        <v>2024</v>
      </c>
      <c r="B64" s="96" t="s">
        <v>23</v>
      </c>
      <c r="C64" s="1" t="s">
        <v>0</v>
      </c>
      <c r="D64" s="1" t="s">
        <v>103</v>
      </c>
      <c r="E64" s="20">
        <v>180</v>
      </c>
      <c r="F64" s="20">
        <v>148</v>
      </c>
      <c r="G64" s="20">
        <v>122</v>
      </c>
      <c r="H64" s="20"/>
      <c r="I64" s="20"/>
      <c r="K64" s="59"/>
    </row>
    <row r="65" spans="1:11" x14ac:dyDescent="0.2">
      <c r="A65" s="1">
        <v>2024</v>
      </c>
      <c r="B65" s="96" t="s">
        <v>22</v>
      </c>
      <c r="C65" s="1" t="s">
        <v>0</v>
      </c>
      <c r="D65" s="1" t="s">
        <v>103</v>
      </c>
      <c r="E65" s="20">
        <v>195</v>
      </c>
      <c r="F65" s="20">
        <v>169</v>
      </c>
      <c r="G65" s="20">
        <v>136</v>
      </c>
      <c r="H65" s="20"/>
      <c r="I65" s="20"/>
      <c r="K65" s="59"/>
    </row>
    <row r="66" spans="1:11" x14ac:dyDescent="0.2">
      <c r="A66" s="1">
        <v>2024</v>
      </c>
      <c r="B66" s="96" t="s">
        <v>21</v>
      </c>
      <c r="C66" s="1" t="s">
        <v>0</v>
      </c>
      <c r="D66" s="1" t="s">
        <v>111</v>
      </c>
      <c r="E66" s="20">
        <v>151</v>
      </c>
      <c r="F66" s="20">
        <v>100</v>
      </c>
      <c r="G66" s="20">
        <v>60</v>
      </c>
      <c r="H66" s="20" t="s">
        <v>20</v>
      </c>
      <c r="I66" s="20"/>
      <c r="K66" s="59"/>
    </row>
    <row r="67" spans="1:11" x14ac:dyDescent="0.2">
      <c r="A67" s="1">
        <v>2024</v>
      </c>
      <c r="B67" s="96" t="s">
        <v>19</v>
      </c>
      <c r="C67" s="1" t="s">
        <v>0</v>
      </c>
      <c r="D67" s="1" t="s">
        <v>111</v>
      </c>
      <c r="E67" s="20">
        <v>194</v>
      </c>
      <c r="F67" s="20">
        <v>175</v>
      </c>
      <c r="G67" s="20">
        <v>144</v>
      </c>
      <c r="H67" s="20"/>
      <c r="I67" s="20"/>
      <c r="K67" s="59"/>
    </row>
    <row r="68" spans="1:11" x14ac:dyDescent="0.2">
      <c r="A68" s="1">
        <v>2024</v>
      </c>
      <c r="B68" s="96" t="s">
        <v>18</v>
      </c>
      <c r="C68" s="1" t="s">
        <v>0</v>
      </c>
      <c r="D68" s="1" t="s">
        <v>111</v>
      </c>
      <c r="E68" s="20">
        <v>82</v>
      </c>
      <c r="F68" s="20">
        <v>126</v>
      </c>
      <c r="G68" s="20">
        <v>111</v>
      </c>
      <c r="H68" s="20"/>
      <c r="I68" s="20"/>
      <c r="K68" s="59"/>
    </row>
    <row r="69" spans="1:11" x14ac:dyDescent="0.2">
      <c r="A69" s="1">
        <v>2024</v>
      </c>
      <c r="B69" s="96" t="s">
        <v>17</v>
      </c>
      <c r="C69" s="1" t="s">
        <v>0</v>
      </c>
      <c r="D69" s="1" t="s">
        <v>111</v>
      </c>
      <c r="E69" s="20">
        <v>154</v>
      </c>
      <c r="F69" s="20">
        <v>115</v>
      </c>
      <c r="G69" s="20">
        <v>100</v>
      </c>
      <c r="H69" s="20"/>
      <c r="I69" s="20"/>
      <c r="K69" s="59"/>
    </row>
    <row r="70" spans="1:11" x14ac:dyDescent="0.2">
      <c r="A70" s="1">
        <v>2024</v>
      </c>
      <c r="B70" s="96" t="s">
        <v>16</v>
      </c>
      <c r="C70" s="1" t="s">
        <v>0</v>
      </c>
      <c r="D70" s="1" t="s">
        <v>103</v>
      </c>
      <c r="E70" s="20">
        <v>165</v>
      </c>
      <c r="F70" s="20">
        <v>112</v>
      </c>
      <c r="G70" s="20">
        <v>98</v>
      </c>
      <c r="H70" s="20" t="s">
        <v>15</v>
      </c>
      <c r="I70" s="20"/>
      <c r="K70" s="59"/>
    </row>
    <row r="71" spans="1:11" x14ac:dyDescent="0.2">
      <c r="A71" s="1">
        <v>2024</v>
      </c>
      <c r="B71" s="96" t="s">
        <v>14</v>
      </c>
      <c r="C71" s="1" t="s">
        <v>0</v>
      </c>
      <c r="D71" s="1" t="s">
        <v>103</v>
      </c>
      <c r="E71" s="20">
        <v>121</v>
      </c>
      <c r="F71" s="20">
        <v>153</v>
      </c>
      <c r="G71" s="20">
        <v>125</v>
      </c>
      <c r="H71" s="20"/>
      <c r="I71" s="20"/>
      <c r="K71" s="59"/>
    </row>
    <row r="72" spans="1:11" x14ac:dyDescent="0.2">
      <c r="A72" s="1">
        <v>2024</v>
      </c>
      <c r="B72" s="96" t="s">
        <v>13</v>
      </c>
      <c r="C72" s="1" t="s">
        <v>0</v>
      </c>
      <c r="D72" s="35" t="s">
        <v>111</v>
      </c>
      <c r="E72" s="20">
        <v>133</v>
      </c>
      <c r="F72" s="20">
        <v>144</v>
      </c>
      <c r="G72" s="20">
        <v>115</v>
      </c>
      <c r="H72" s="20"/>
      <c r="I72" s="20"/>
      <c r="K72" s="59"/>
    </row>
    <row r="73" spans="1:11" x14ac:dyDescent="0.2">
      <c r="A73" s="1">
        <v>2024</v>
      </c>
      <c r="B73" s="96" t="s">
        <v>12</v>
      </c>
      <c r="C73" s="1" t="s">
        <v>0</v>
      </c>
      <c r="D73" s="1" t="s">
        <v>103</v>
      </c>
      <c r="E73" s="20">
        <v>133</v>
      </c>
      <c r="F73" s="20">
        <v>153</v>
      </c>
      <c r="G73" s="20">
        <v>126</v>
      </c>
      <c r="H73" s="20"/>
      <c r="I73" s="20"/>
      <c r="K73" s="59"/>
    </row>
    <row r="74" spans="1:11" x14ac:dyDescent="0.2">
      <c r="A74" s="1">
        <v>2024</v>
      </c>
      <c r="B74" s="96" t="s">
        <v>11</v>
      </c>
      <c r="C74" s="1" t="s">
        <v>0</v>
      </c>
      <c r="D74" s="1" t="s">
        <v>103</v>
      </c>
      <c r="E74" s="20">
        <v>105</v>
      </c>
      <c r="F74" s="20">
        <v>141</v>
      </c>
      <c r="G74" s="20">
        <v>107</v>
      </c>
      <c r="H74" s="20"/>
      <c r="I74" s="20"/>
      <c r="K74" s="59"/>
    </row>
    <row r="75" spans="1:11" x14ac:dyDescent="0.2">
      <c r="A75" s="1">
        <v>2024</v>
      </c>
      <c r="B75" s="96" t="s">
        <v>10</v>
      </c>
      <c r="C75" s="1" t="s">
        <v>0</v>
      </c>
      <c r="D75" s="1" t="s">
        <v>111</v>
      </c>
      <c r="E75" s="20">
        <v>141</v>
      </c>
      <c r="F75" s="20">
        <v>147</v>
      </c>
      <c r="G75" s="20">
        <v>107</v>
      </c>
      <c r="H75" s="20"/>
      <c r="J75" s="20"/>
      <c r="K75" s="60"/>
    </row>
    <row r="76" spans="1:11" x14ac:dyDescent="0.2">
      <c r="A76" s="1">
        <v>2024</v>
      </c>
      <c r="B76" s="96" t="s">
        <v>9</v>
      </c>
      <c r="C76" s="1" t="s">
        <v>0</v>
      </c>
      <c r="D76" s="1" t="s">
        <v>103</v>
      </c>
      <c r="E76" s="20">
        <v>133</v>
      </c>
      <c r="F76" s="20">
        <v>126</v>
      </c>
      <c r="G76" s="20">
        <v>101</v>
      </c>
      <c r="H76" s="20"/>
      <c r="I76" s="20"/>
      <c r="J76" s="20"/>
      <c r="K76" s="59"/>
    </row>
    <row r="77" spans="1:11" x14ac:dyDescent="0.2">
      <c r="A77" s="1">
        <v>2024</v>
      </c>
      <c r="B77" s="96" t="s">
        <v>8</v>
      </c>
      <c r="C77" s="1" t="s">
        <v>0</v>
      </c>
      <c r="D77" s="1" t="s">
        <v>111</v>
      </c>
      <c r="E77" s="20">
        <v>190</v>
      </c>
      <c r="F77" s="20">
        <v>122</v>
      </c>
      <c r="G77" s="20">
        <v>142</v>
      </c>
      <c r="H77" s="20"/>
      <c r="I77" s="20"/>
      <c r="J77" s="20"/>
      <c r="K77" s="59"/>
    </row>
    <row r="78" spans="1:11" x14ac:dyDescent="0.2">
      <c r="A78" s="1">
        <v>2024</v>
      </c>
      <c r="B78" s="96" t="s">
        <v>7</v>
      </c>
      <c r="C78" s="1" t="s">
        <v>0</v>
      </c>
      <c r="D78" s="1" t="s">
        <v>111</v>
      </c>
      <c r="E78" s="20">
        <v>105</v>
      </c>
      <c r="F78" s="20">
        <v>139</v>
      </c>
      <c r="G78" s="20">
        <v>106</v>
      </c>
      <c r="H78" s="20"/>
      <c r="I78" s="20"/>
      <c r="J78" s="20"/>
      <c r="K78" s="59"/>
    </row>
    <row r="79" spans="1:11" x14ac:dyDescent="0.2">
      <c r="A79" s="1">
        <v>2024</v>
      </c>
      <c r="B79" s="96" t="s">
        <v>6</v>
      </c>
      <c r="C79" s="1" t="s">
        <v>0</v>
      </c>
      <c r="D79" s="1" t="s">
        <v>103</v>
      </c>
      <c r="E79" s="20">
        <v>209</v>
      </c>
      <c r="F79" s="20">
        <v>180</v>
      </c>
      <c r="G79" s="20">
        <v>142</v>
      </c>
      <c r="H79" s="20"/>
      <c r="I79" s="20"/>
      <c r="J79" s="20"/>
      <c r="K79" s="59"/>
    </row>
    <row r="80" spans="1:11" x14ac:dyDescent="0.2">
      <c r="A80" s="1">
        <v>2024</v>
      </c>
      <c r="B80" s="96" t="s">
        <v>5</v>
      </c>
      <c r="C80" s="1" t="s">
        <v>0</v>
      </c>
      <c r="D80" s="1" t="s">
        <v>111</v>
      </c>
      <c r="E80" s="20">
        <v>188</v>
      </c>
      <c r="F80" s="20">
        <v>167</v>
      </c>
      <c r="G80" s="20">
        <v>146</v>
      </c>
      <c r="H80" s="20"/>
      <c r="I80" s="20"/>
      <c r="J80" s="20"/>
      <c r="K80" s="59"/>
    </row>
    <row r="81" spans="1:11" x14ac:dyDescent="0.2">
      <c r="A81" s="1">
        <v>2024</v>
      </c>
      <c r="B81" s="96" t="s">
        <v>4</v>
      </c>
      <c r="C81" s="1" t="s">
        <v>0</v>
      </c>
      <c r="D81" s="1" t="s">
        <v>111</v>
      </c>
      <c r="E81" s="20">
        <v>205</v>
      </c>
      <c r="F81" s="20">
        <v>162</v>
      </c>
      <c r="G81" s="20">
        <v>124</v>
      </c>
      <c r="H81" s="20"/>
      <c r="I81" s="20"/>
      <c r="J81" s="20"/>
      <c r="K81" s="59"/>
    </row>
    <row r="82" spans="1:11" x14ac:dyDescent="0.2">
      <c r="A82" s="1">
        <v>2024</v>
      </c>
      <c r="B82" s="96" t="s">
        <v>3</v>
      </c>
      <c r="C82" s="1" t="s">
        <v>0</v>
      </c>
      <c r="D82" s="1" t="s">
        <v>103</v>
      </c>
      <c r="E82" s="20">
        <v>168</v>
      </c>
      <c r="F82" s="20">
        <v>167</v>
      </c>
      <c r="G82" s="20">
        <v>133</v>
      </c>
      <c r="H82" s="20"/>
      <c r="I82" s="20"/>
      <c r="J82" s="20"/>
      <c r="K82" s="71"/>
    </row>
    <row r="83" spans="1:11" ht="16" thickBot="1" x14ac:dyDescent="0.25">
      <c r="A83" s="117">
        <v>2024</v>
      </c>
      <c r="B83" s="118" t="s">
        <v>2</v>
      </c>
      <c r="C83" s="117" t="s">
        <v>0</v>
      </c>
      <c r="D83" s="117" t="s">
        <v>103</v>
      </c>
      <c r="E83" s="119">
        <v>130</v>
      </c>
      <c r="F83" s="119">
        <v>148</v>
      </c>
      <c r="G83" s="119">
        <v>115</v>
      </c>
      <c r="H83" s="119"/>
      <c r="J83" s="64"/>
      <c r="K83" s="72"/>
    </row>
    <row r="84" spans="1:11" x14ac:dyDescent="0.2">
      <c r="A84" s="1">
        <v>2025</v>
      </c>
      <c r="B84" s="99">
        <v>27</v>
      </c>
      <c r="C84" s="63" t="s">
        <v>0</v>
      </c>
      <c r="D84" s="1" t="s">
        <v>103</v>
      </c>
      <c r="E84" s="66">
        <v>177</v>
      </c>
      <c r="F84" s="66">
        <v>151</v>
      </c>
      <c r="G84" s="66">
        <v>127</v>
      </c>
      <c r="J84" s="64"/>
      <c r="K84" s="72"/>
    </row>
    <row r="85" spans="1:11" x14ac:dyDescent="0.2">
      <c r="A85" s="1">
        <v>2025</v>
      </c>
      <c r="B85" s="99">
        <v>28</v>
      </c>
      <c r="C85" s="63" t="s">
        <v>0</v>
      </c>
      <c r="D85" s="1" t="s">
        <v>103</v>
      </c>
      <c r="E85" s="66">
        <v>239</v>
      </c>
      <c r="F85" s="66">
        <v>159</v>
      </c>
      <c r="G85" s="66">
        <v>134</v>
      </c>
      <c r="J85" s="64"/>
      <c r="K85" s="72"/>
    </row>
    <row r="86" spans="1:11" x14ac:dyDescent="0.2">
      <c r="A86" s="1">
        <v>2025</v>
      </c>
      <c r="B86" s="62">
        <v>44</v>
      </c>
      <c r="C86" s="63" t="s">
        <v>0</v>
      </c>
      <c r="D86" s="1" t="s">
        <v>103</v>
      </c>
      <c r="E86" s="66">
        <v>197</v>
      </c>
      <c r="F86" s="66">
        <v>145</v>
      </c>
      <c r="G86" s="66">
        <v>109</v>
      </c>
      <c r="J86" s="64"/>
      <c r="K86" s="72"/>
    </row>
    <row r="87" spans="1:11" x14ac:dyDescent="0.2">
      <c r="A87" s="1">
        <v>2025</v>
      </c>
      <c r="B87" s="62">
        <v>46</v>
      </c>
      <c r="C87" s="63" t="s">
        <v>0</v>
      </c>
      <c r="D87" s="1" t="s">
        <v>111</v>
      </c>
      <c r="E87" s="66">
        <v>142</v>
      </c>
      <c r="F87" s="66">
        <v>130</v>
      </c>
      <c r="G87" s="66">
        <v>94</v>
      </c>
      <c r="J87" s="64"/>
      <c r="K87" s="72"/>
    </row>
    <row r="88" spans="1:11" x14ac:dyDescent="0.2">
      <c r="A88" s="1">
        <v>2025</v>
      </c>
      <c r="B88" s="62">
        <v>48</v>
      </c>
      <c r="C88" s="63" t="s">
        <v>0</v>
      </c>
      <c r="D88" s="1" t="s">
        <v>103</v>
      </c>
      <c r="E88" s="66">
        <v>141</v>
      </c>
      <c r="F88" s="66">
        <v>149</v>
      </c>
      <c r="G88" s="66">
        <v>110</v>
      </c>
      <c r="J88" s="64"/>
      <c r="K88" s="72"/>
    </row>
    <row r="89" spans="1:11" x14ac:dyDescent="0.2">
      <c r="A89" s="1">
        <v>2025</v>
      </c>
      <c r="B89" s="62">
        <v>61</v>
      </c>
      <c r="C89" s="63" t="s">
        <v>0</v>
      </c>
      <c r="D89" s="1" t="s">
        <v>103</v>
      </c>
      <c r="E89" s="66">
        <v>141</v>
      </c>
      <c r="F89" s="66">
        <v>133</v>
      </c>
      <c r="G89" s="66">
        <v>86</v>
      </c>
      <c r="J89" s="64"/>
      <c r="K89" s="72"/>
    </row>
    <row r="90" spans="1:11" x14ac:dyDescent="0.2">
      <c r="A90" s="1">
        <v>2025</v>
      </c>
      <c r="B90" s="62">
        <v>62</v>
      </c>
      <c r="C90" s="63" t="s">
        <v>0</v>
      </c>
      <c r="D90" s="1" t="s">
        <v>103</v>
      </c>
      <c r="E90" s="66">
        <v>132</v>
      </c>
      <c r="F90" s="66">
        <v>140</v>
      </c>
      <c r="G90" s="66">
        <v>115</v>
      </c>
      <c r="J90" s="64"/>
      <c r="K90" s="72"/>
    </row>
    <row r="91" spans="1:11" x14ac:dyDescent="0.2">
      <c r="A91" s="1">
        <v>2025</v>
      </c>
      <c r="B91" s="62">
        <v>63</v>
      </c>
      <c r="C91" s="63" t="s">
        <v>0</v>
      </c>
      <c r="D91" s="1" t="s">
        <v>111</v>
      </c>
      <c r="E91" s="66">
        <v>271</v>
      </c>
      <c r="F91" s="66">
        <v>187</v>
      </c>
      <c r="G91" s="66">
        <v>144</v>
      </c>
      <c r="J91" s="64"/>
      <c r="K91" s="72"/>
    </row>
    <row r="92" spans="1:11" x14ac:dyDescent="0.2">
      <c r="A92" s="1">
        <v>2025</v>
      </c>
      <c r="B92" s="62">
        <v>71</v>
      </c>
      <c r="C92" s="63" t="s">
        <v>0</v>
      </c>
      <c r="D92" s="1" t="s">
        <v>103</v>
      </c>
      <c r="E92" s="66">
        <v>139</v>
      </c>
      <c r="F92" s="66">
        <v>126</v>
      </c>
      <c r="G92" s="66">
        <v>104</v>
      </c>
      <c r="J92" s="64"/>
      <c r="K92" s="72"/>
    </row>
    <row r="93" spans="1:11" x14ac:dyDescent="0.2">
      <c r="A93" s="1">
        <v>2025</v>
      </c>
      <c r="B93" s="62">
        <v>73</v>
      </c>
      <c r="C93" s="63" t="s">
        <v>0</v>
      </c>
      <c r="D93" s="1" t="s">
        <v>111</v>
      </c>
      <c r="E93" s="66">
        <v>137</v>
      </c>
      <c r="F93" s="66">
        <v>137</v>
      </c>
      <c r="G93" s="66">
        <v>101</v>
      </c>
      <c r="J93" s="64"/>
      <c r="K93" s="72"/>
    </row>
    <row r="94" spans="1:11" x14ac:dyDescent="0.2">
      <c r="A94" s="1">
        <v>2025</v>
      </c>
      <c r="B94" s="62">
        <v>74</v>
      </c>
      <c r="C94" s="63" t="s">
        <v>0</v>
      </c>
      <c r="D94" s="1" t="s">
        <v>103</v>
      </c>
      <c r="E94" s="66">
        <v>163</v>
      </c>
      <c r="F94" s="66">
        <v>106</v>
      </c>
      <c r="G94" s="66">
        <v>137</v>
      </c>
      <c r="J94" s="64"/>
      <c r="K94" s="72"/>
    </row>
    <row r="95" spans="1:11" x14ac:dyDescent="0.2">
      <c r="A95" s="1">
        <v>2025</v>
      </c>
      <c r="B95" s="62">
        <v>75</v>
      </c>
      <c r="C95" s="63" t="s">
        <v>0</v>
      </c>
      <c r="D95" s="1" t="s">
        <v>103</v>
      </c>
      <c r="E95" s="66">
        <v>117</v>
      </c>
      <c r="F95" s="66">
        <v>136</v>
      </c>
      <c r="G95" s="66">
        <v>101</v>
      </c>
      <c r="J95" s="64"/>
      <c r="K95" s="72"/>
    </row>
    <row r="96" spans="1:11" x14ac:dyDescent="0.2">
      <c r="A96" s="1">
        <v>2025</v>
      </c>
      <c r="B96" s="62">
        <v>76</v>
      </c>
      <c r="C96" s="63" t="s">
        <v>0</v>
      </c>
      <c r="D96" s="1" t="s">
        <v>103</v>
      </c>
      <c r="E96" s="66">
        <v>92</v>
      </c>
      <c r="F96" s="66">
        <v>142</v>
      </c>
      <c r="G96" s="66">
        <v>125</v>
      </c>
      <c r="J96" s="64"/>
      <c r="K96" s="72"/>
    </row>
    <row r="97" spans="1:11" x14ac:dyDescent="0.2">
      <c r="A97" s="1">
        <v>2025</v>
      </c>
      <c r="B97" s="62">
        <v>78</v>
      </c>
      <c r="C97" s="63" t="s">
        <v>0</v>
      </c>
      <c r="D97" s="1" t="s">
        <v>103</v>
      </c>
      <c r="E97" s="66">
        <v>153</v>
      </c>
      <c r="F97" s="66">
        <v>125</v>
      </c>
      <c r="G97" s="66">
        <v>100</v>
      </c>
      <c r="J97" s="64"/>
      <c r="K97" s="72"/>
    </row>
    <row r="98" spans="1:11" x14ac:dyDescent="0.2">
      <c r="A98" s="1">
        <v>2025</v>
      </c>
      <c r="B98" s="62">
        <v>96</v>
      </c>
      <c r="C98" s="63" t="s">
        <v>0</v>
      </c>
      <c r="D98" s="1" t="s">
        <v>103</v>
      </c>
      <c r="E98" s="66">
        <v>185</v>
      </c>
      <c r="F98" s="66">
        <v>154</v>
      </c>
      <c r="G98" s="66">
        <v>114</v>
      </c>
      <c r="J98" s="64"/>
      <c r="K98" s="72"/>
    </row>
    <row r="99" spans="1:11" x14ac:dyDescent="0.2">
      <c r="A99" s="1">
        <v>2025</v>
      </c>
      <c r="B99" s="62">
        <v>97</v>
      </c>
      <c r="C99" s="63" t="s">
        <v>0</v>
      </c>
      <c r="D99" s="1" t="s">
        <v>103</v>
      </c>
      <c r="E99" s="66">
        <v>112</v>
      </c>
      <c r="F99" s="66">
        <v>138</v>
      </c>
      <c r="G99" s="66">
        <v>112</v>
      </c>
      <c r="J99" s="64"/>
      <c r="K99" s="72"/>
    </row>
    <row r="100" spans="1:11" x14ac:dyDescent="0.2">
      <c r="J100" s="64"/>
      <c r="K100" s="72"/>
    </row>
    <row r="101" spans="1:11" x14ac:dyDescent="0.2">
      <c r="J101" s="64"/>
      <c r="K101" s="72"/>
    </row>
    <row r="102" spans="1:11" x14ac:dyDescent="0.2">
      <c r="J102" s="64"/>
      <c r="K102" s="72"/>
    </row>
    <row r="103" spans="1:11" x14ac:dyDescent="0.2">
      <c r="J103" s="64"/>
      <c r="K103" s="72"/>
    </row>
    <row r="104" spans="1:11" x14ac:dyDescent="0.2">
      <c r="J104" s="64"/>
      <c r="K104" s="72"/>
    </row>
    <row r="105" spans="1:11" x14ac:dyDescent="0.2">
      <c r="J105" s="64"/>
      <c r="K105" s="72"/>
    </row>
    <row r="106" spans="1:11" x14ac:dyDescent="0.2">
      <c r="J106" s="64"/>
      <c r="K106" s="72"/>
    </row>
    <row r="107" spans="1:11" x14ac:dyDescent="0.2">
      <c r="J107" s="64"/>
      <c r="K107" s="72"/>
    </row>
    <row r="108" spans="1:11" x14ac:dyDescent="0.2">
      <c r="J108" s="64"/>
      <c r="K108" s="72"/>
    </row>
    <row r="109" spans="1:11" x14ac:dyDescent="0.2">
      <c r="J109" s="66"/>
      <c r="K109" s="73"/>
    </row>
    <row r="110" spans="1:11" x14ac:dyDescent="0.2">
      <c r="J110" s="66"/>
      <c r="K110" s="73"/>
    </row>
    <row r="111" spans="1:11" x14ac:dyDescent="0.2">
      <c r="J111" s="66"/>
      <c r="K111" s="73"/>
    </row>
    <row r="112" spans="1:11" x14ac:dyDescent="0.2">
      <c r="B112" s="62"/>
      <c r="C112" s="63"/>
      <c r="F112" s="66"/>
      <c r="G112" s="66"/>
      <c r="H112" s="66"/>
      <c r="J112" s="66"/>
      <c r="K112" s="73"/>
    </row>
    <row r="113" spans="10:11" x14ac:dyDescent="0.2">
      <c r="J113" s="66"/>
      <c r="K113" s="73"/>
    </row>
    <row r="114" spans="10:11" x14ac:dyDescent="0.2">
      <c r="J114" s="66"/>
      <c r="K114" s="73"/>
    </row>
    <row r="115" spans="10:11" x14ac:dyDescent="0.2">
      <c r="J115" s="66"/>
      <c r="K115" s="73"/>
    </row>
    <row r="116" spans="10:11" x14ac:dyDescent="0.2">
      <c r="J116" s="66"/>
      <c r="K116" s="73"/>
    </row>
    <row r="117" spans="10:11" x14ac:dyDescent="0.2">
      <c r="J117" s="66"/>
      <c r="K117" s="73"/>
    </row>
    <row r="118" spans="10:11" x14ac:dyDescent="0.2">
      <c r="J118" s="66"/>
      <c r="K118" s="73"/>
    </row>
    <row r="119" spans="10:11" x14ac:dyDescent="0.2">
      <c r="J119" s="66"/>
      <c r="K119" s="73"/>
    </row>
    <row r="120" spans="10:11" x14ac:dyDescent="0.2">
      <c r="J120" s="66"/>
      <c r="K120" s="73"/>
    </row>
    <row r="121" spans="10:11" x14ac:dyDescent="0.2">
      <c r="J121" s="66"/>
      <c r="K121" s="73"/>
    </row>
    <row r="122" spans="10:11" x14ac:dyDescent="0.2">
      <c r="J122" s="66"/>
      <c r="K122" s="73"/>
    </row>
    <row r="123" spans="10:11" x14ac:dyDescent="0.2">
      <c r="J123" s="64"/>
      <c r="K123" s="73"/>
    </row>
    <row r="124" spans="10:11" x14ac:dyDescent="0.2">
      <c r="J124" s="66"/>
      <c r="K124" s="7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C164-8730-6840-956A-D13A91534756}">
  <dimension ref="A1:V108"/>
  <sheetViews>
    <sheetView topLeftCell="C1" workbookViewId="0">
      <pane ySplit="1" topLeftCell="A2" activePane="bottomLeft" state="frozen"/>
      <selection pane="bottomLeft" activeCell="F58" sqref="F58"/>
    </sheetView>
  </sheetViews>
  <sheetFormatPr baseColWidth="10" defaultRowHeight="15" x14ac:dyDescent="0.2"/>
  <cols>
    <col min="1" max="16" width="10.83203125" style="1"/>
    <col min="17" max="17" width="21.83203125" style="1" bestFit="1" customWidth="1"/>
    <col min="18" max="16384" width="10.83203125" style="1"/>
  </cols>
  <sheetData>
    <row r="1" spans="1:22" x14ac:dyDescent="0.2">
      <c r="A1" s="1" t="s">
        <v>58</v>
      </c>
      <c r="B1" s="1" t="s">
        <v>55</v>
      </c>
      <c r="C1" s="1" t="s">
        <v>59</v>
      </c>
      <c r="D1" s="1" t="s">
        <v>60</v>
      </c>
      <c r="E1" s="1" t="s">
        <v>86</v>
      </c>
      <c r="F1" s="1" t="s">
        <v>250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251</v>
      </c>
    </row>
    <row r="2" spans="1:22" x14ac:dyDescent="0.2">
      <c r="A2" s="1">
        <v>2024</v>
      </c>
      <c r="B2" s="2" t="s">
        <v>51</v>
      </c>
      <c r="C2" s="2" t="s">
        <v>77</v>
      </c>
      <c r="D2" s="1" t="s">
        <v>1</v>
      </c>
      <c r="E2" s="1" t="s">
        <v>103</v>
      </c>
      <c r="F2" s="1">
        <v>1</v>
      </c>
      <c r="G2" s="1">
        <v>3</v>
      </c>
      <c r="H2" s="1">
        <v>3</v>
      </c>
      <c r="I2" s="1">
        <v>2</v>
      </c>
      <c r="J2" s="1">
        <v>3</v>
      </c>
      <c r="K2" s="1">
        <v>3</v>
      </c>
      <c r="L2" s="1">
        <v>3</v>
      </c>
      <c r="M2" s="1">
        <v>2</v>
      </c>
      <c r="N2" s="1">
        <v>2</v>
      </c>
      <c r="O2" s="1">
        <v>2</v>
      </c>
      <c r="P2" s="1">
        <v>3</v>
      </c>
      <c r="Q2" s="1">
        <v>3</v>
      </c>
      <c r="R2" s="1">
        <v>3</v>
      </c>
      <c r="S2" s="1">
        <v>1</v>
      </c>
      <c r="T2" s="1">
        <f t="shared" ref="T2:T33" si="0">SUM(G2:S2)</f>
        <v>33</v>
      </c>
      <c r="U2" s="1">
        <f t="shared" ref="U2:U33" si="1">COUNT(G2:S2)</f>
        <v>13</v>
      </c>
      <c r="V2" s="1">
        <f t="shared" ref="V2:V5" si="2">T2-U2</f>
        <v>20</v>
      </c>
    </row>
    <row r="3" spans="1:22" x14ac:dyDescent="0.2">
      <c r="A3" s="1">
        <v>2024</v>
      </c>
      <c r="B3" s="2" t="s">
        <v>38</v>
      </c>
      <c r="C3" s="2" t="s">
        <v>77</v>
      </c>
      <c r="D3" s="1" t="s">
        <v>1</v>
      </c>
      <c r="E3" s="1" t="s">
        <v>111</v>
      </c>
      <c r="F3" s="1">
        <v>0</v>
      </c>
      <c r="G3" s="1">
        <v>2</v>
      </c>
      <c r="H3" s="1">
        <v>3</v>
      </c>
      <c r="I3" s="1">
        <v>3</v>
      </c>
      <c r="J3" s="1">
        <v>3</v>
      </c>
      <c r="K3" s="1">
        <v>3</v>
      </c>
      <c r="L3" s="1">
        <v>3</v>
      </c>
      <c r="M3" s="1">
        <v>3</v>
      </c>
      <c r="N3" s="1">
        <v>3</v>
      </c>
      <c r="O3" s="1">
        <v>2</v>
      </c>
      <c r="P3" s="1">
        <v>3</v>
      </c>
      <c r="Q3" s="1">
        <v>3</v>
      </c>
      <c r="T3" s="1">
        <f t="shared" si="0"/>
        <v>31</v>
      </c>
      <c r="U3" s="1">
        <f t="shared" si="1"/>
        <v>11</v>
      </c>
      <c r="V3" s="1">
        <f t="shared" si="2"/>
        <v>20</v>
      </c>
    </row>
    <row r="4" spans="1:22" x14ac:dyDescent="0.2">
      <c r="A4" s="1">
        <v>2024</v>
      </c>
      <c r="B4" s="2" t="s">
        <v>37</v>
      </c>
      <c r="C4" s="2" t="s">
        <v>77</v>
      </c>
      <c r="D4" s="1" t="s">
        <v>1</v>
      </c>
      <c r="E4" s="1" t="s">
        <v>103</v>
      </c>
      <c r="F4" s="1">
        <v>0</v>
      </c>
      <c r="G4" s="1">
        <v>3</v>
      </c>
      <c r="H4" s="1">
        <v>3</v>
      </c>
      <c r="I4" s="1">
        <v>2</v>
      </c>
      <c r="J4" s="1">
        <v>3</v>
      </c>
      <c r="K4" s="1">
        <v>3</v>
      </c>
      <c r="L4" s="1">
        <v>2</v>
      </c>
      <c r="M4" s="1">
        <v>2</v>
      </c>
      <c r="N4" s="1">
        <v>3</v>
      </c>
      <c r="O4" s="1">
        <v>2</v>
      </c>
      <c r="P4" s="1">
        <v>3</v>
      </c>
      <c r="Q4" s="1">
        <v>2</v>
      </c>
      <c r="R4" s="1">
        <v>2</v>
      </c>
      <c r="S4" s="1">
        <v>1</v>
      </c>
      <c r="T4" s="1">
        <f t="shared" si="0"/>
        <v>31</v>
      </c>
      <c r="U4" s="1">
        <f t="shared" si="1"/>
        <v>13</v>
      </c>
      <c r="V4" s="1">
        <f t="shared" si="2"/>
        <v>18</v>
      </c>
    </row>
    <row r="5" spans="1:22" x14ac:dyDescent="0.2">
      <c r="A5" s="1">
        <v>2024</v>
      </c>
      <c r="B5" s="2" t="s">
        <v>36</v>
      </c>
      <c r="C5" s="2" t="s">
        <v>77</v>
      </c>
      <c r="D5" s="1" t="s">
        <v>1</v>
      </c>
      <c r="E5" s="1" t="s">
        <v>111</v>
      </c>
      <c r="F5" s="1">
        <v>0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P5" s="1">
        <v>2</v>
      </c>
      <c r="Q5" s="1">
        <v>2</v>
      </c>
      <c r="R5" s="1">
        <v>1</v>
      </c>
      <c r="S5" s="1">
        <v>1</v>
      </c>
      <c r="T5" s="1">
        <f t="shared" si="0"/>
        <v>24</v>
      </c>
      <c r="U5" s="1">
        <f t="shared" si="1"/>
        <v>13</v>
      </c>
      <c r="V5" s="1">
        <f t="shared" si="2"/>
        <v>11</v>
      </c>
    </row>
    <row r="6" spans="1:22" x14ac:dyDescent="0.2">
      <c r="A6" s="1">
        <v>2024</v>
      </c>
      <c r="B6" s="1" t="s">
        <v>50</v>
      </c>
      <c r="C6" s="2" t="s">
        <v>77</v>
      </c>
      <c r="D6" s="1" t="s">
        <v>1</v>
      </c>
      <c r="E6" s="1" t="s">
        <v>111</v>
      </c>
      <c r="F6" s="1">
        <v>1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2</v>
      </c>
      <c r="S6" s="28" t="s">
        <v>78</v>
      </c>
      <c r="T6" s="1">
        <f t="shared" si="0"/>
        <v>24</v>
      </c>
      <c r="U6" s="1">
        <f t="shared" si="1"/>
        <v>12</v>
      </c>
      <c r="V6" s="1">
        <f t="shared" ref="V6:V37" si="3">T6-U6</f>
        <v>12</v>
      </c>
    </row>
    <row r="7" spans="1:22" x14ac:dyDescent="0.2">
      <c r="A7" s="1">
        <v>2024</v>
      </c>
      <c r="B7" s="2" t="s">
        <v>35</v>
      </c>
      <c r="C7" s="2" t="s">
        <v>77</v>
      </c>
      <c r="D7" s="1" t="s">
        <v>1</v>
      </c>
      <c r="E7" s="1" t="s">
        <v>111</v>
      </c>
      <c r="F7" s="1">
        <v>0</v>
      </c>
      <c r="G7" s="1">
        <v>3</v>
      </c>
      <c r="H7" s="1">
        <v>3</v>
      </c>
      <c r="I7" s="1">
        <v>3</v>
      </c>
      <c r="J7" s="1">
        <v>2</v>
      </c>
      <c r="K7" s="1">
        <v>3</v>
      </c>
      <c r="L7" s="1">
        <v>2</v>
      </c>
      <c r="M7" s="1">
        <v>2</v>
      </c>
      <c r="N7" s="1">
        <v>3</v>
      </c>
      <c r="O7" s="1">
        <v>2</v>
      </c>
      <c r="P7" s="1">
        <v>2</v>
      </c>
      <c r="Q7" s="1">
        <v>2</v>
      </c>
      <c r="R7" s="1">
        <v>4</v>
      </c>
      <c r="S7" s="1">
        <v>2</v>
      </c>
      <c r="T7" s="1">
        <f t="shared" si="0"/>
        <v>33</v>
      </c>
      <c r="U7" s="1">
        <f t="shared" si="1"/>
        <v>13</v>
      </c>
      <c r="V7" s="1">
        <f t="shared" si="3"/>
        <v>20</v>
      </c>
    </row>
    <row r="8" spans="1:22" x14ac:dyDescent="0.2">
      <c r="A8" s="1">
        <v>2024</v>
      </c>
      <c r="B8" s="1" t="s">
        <v>34</v>
      </c>
      <c r="C8" s="2" t="s">
        <v>77</v>
      </c>
      <c r="D8" s="1" t="s">
        <v>1</v>
      </c>
      <c r="E8" s="1" t="s">
        <v>111</v>
      </c>
      <c r="F8" s="1">
        <v>0</v>
      </c>
      <c r="G8" s="1">
        <v>2</v>
      </c>
      <c r="H8" s="1">
        <v>2</v>
      </c>
      <c r="I8" s="1">
        <v>2</v>
      </c>
      <c r="J8" s="1">
        <v>3</v>
      </c>
      <c r="K8" s="1">
        <v>2</v>
      </c>
      <c r="L8" s="1">
        <v>3</v>
      </c>
      <c r="M8" s="1">
        <v>2</v>
      </c>
      <c r="N8" s="1">
        <v>2</v>
      </c>
      <c r="O8" s="1">
        <v>2</v>
      </c>
      <c r="P8" s="1">
        <v>2</v>
      </c>
      <c r="Q8" s="1">
        <v>3</v>
      </c>
      <c r="R8" s="1">
        <v>3</v>
      </c>
      <c r="S8" s="1">
        <v>1</v>
      </c>
      <c r="T8" s="1">
        <f t="shared" si="0"/>
        <v>29</v>
      </c>
      <c r="U8" s="1">
        <f t="shared" si="1"/>
        <v>13</v>
      </c>
      <c r="V8" s="1">
        <f t="shared" si="3"/>
        <v>16</v>
      </c>
    </row>
    <row r="9" spans="1:22" x14ac:dyDescent="0.2">
      <c r="A9" s="1">
        <v>2024</v>
      </c>
      <c r="B9" s="2" t="s">
        <v>33</v>
      </c>
      <c r="C9" s="2" t="s">
        <v>77</v>
      </c>
      <c r="D9" s="1" t="s">
        <v>1</v>
      </c>
      <c r="E9" s="35" t="s">
        <v>103</v>
      </c>
      <c r="F9" s="1">
        <v>0</v>
      </c>
      <c r="G9" s="1">
        <v>3</v>
      </c>
      <c r="H9" s="1">
        <v>3</v>
      </c>
      <c r="I9" s="1">
        <v>3</v>
      </c>
      <c r="J9" s="1">
        <v>3</v>
      </c>
      <c r="K9" s="1">
        <v>3</v>
      </c>
      <c r="L9" s="1">
        <v>3</v>
      </c>
      <c r="M9" s="1">
        <v>2</v>
      </c>
      <c r="N9" s="1">
        <v>2</v>
      </c>
      <c r="O9" s="1">
        <v>2</v>
      </c>
      <c r="P9" s="1">
        <v>2</v>
      </c>
      <c r="Q9" s="1">
        <v>3</v>
      </c>
      <c r="R9" s="1">
        <v>4</v>
      </c>
      <c r="S9" s="1">
        <v>1</v>
      </c>
      <c r="T9" s="1">
        <f t="shared" si="0"/>
        <v>34</v>
      </c>
      <c r="U9" s="1">
        <f t="shared" si="1"/>
        <v>13</v>
      </c>
      <c r="V9" s="1">
        <f t="shared" si="3"/>
        <v>21</v>
      </c>
    </row>
    <row r="10" spans="1:22" x14ac:dyDescent="0.2">
      <c r="A10" s="1">
        <v>2024</v>
      </c>
      <c r="B10" s="1" t="s">
        <v>32</v>
      </c>
      <c r="C10" s="2" t="s">
        <v>77</v>
      </c>
      <c r="D10" s="1" t="s">
        <v>1</v>
      </c>
      <c r="E10" s="1" t="s">
        <v>103</v>
      </c>
      <c r="F10" s="1">
        <v>0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3</v>
      </c>
      <c r="O10" s="1">
        <v>2</v>
      </c>
      <c r="P10" s="1">
        <v>2</v>
      </c>
      <c r="Q10" s="1">
        <v>2</v>
      </c>
      <c r="R10" s="28" t="s">
        <v>78</v>
      </c>
      <c r="S10" s="1">
        <v>1</v>
      </c>
      <c r="T10" s="1">
        <f t="shared" si="0"/>
        <v>24</v>
      </c>
      <c r="U10" s="1">
        <f t="shared" si="1"/>
        <v>12</v>
      </c>
      <c r="V10" s="1">
        <f t="shared" si="3"/>
        <v>12</v>
      </c>
    </row>
    <row r="11" spans="1:22" x14ac:dyDescent="0.2">
      <c r="A11" s="1">
        <v>2024</v>
      </c>
      <c r="B11" s="1" t="s">
        <v>31</v>
      </c>
      <c r="C11" s="2" t="s">
        <v>77</v>
      </c>
      <c r="D11" s="1" t="s">
        <v>1</v>
      </c>
      <c r="E11" s="1" t="s">
        <v>103</v>
      </c>
      <c r="F11" s="1">
        <v>0</v>
      </c>
      <c r="G11" s="1">
        <v>3</v>
      </c>
      <c r="H11" s="1">
        <v>3</v>
      </c>
      <c r="I11" s="1">
        <v>2</v>
      </c>
      <c r="J11" s="1">
        <v>2</v>
      </c>
      <c r="K11" s="1">
        <v>1</v>
      </c>
      <c r="L11" s="1">
        <v>3</v>
      </c>
      <c r="M11" s="1">
        <v>3</v>
      </c>
      <c r="N11" s="1">
        <v>2</v>
      </c>
      <c r="O11" s="1">
        <v>3</v>
      </c>
      <c r="P11" s="1">
        <v>3</v>
      </c>
      <c r="Q11" s="1">
        <v>3</v>
      </c>
      <c r="R11" s="1">
        <v>3</v>
      </c>
      <c r="S11" s="1">
        <v>1</v>
      </c>
      <c r="T11" s="1">
        <f t="shared" si="0"/>
        <v>32</v>
      </c>
      <c r="U11" s="1">
        <f t="shared" si="1"/>
        <v>13</v>
      </c>
      <c r="V11" s="1">
        <f t="shared" si="3"/>
        <v>19</v>
      </c>
    </row>
    <row r="12" spans="1:22" x14ac:dyDescent="0.2">
      <c r="A12" s="1">
        <v>2024</v>
      </c>
      <c r="B12" s="1" t="s">
        <v>30</v>
      </c>
      <c r="C12" s="2" t="s">
        <v>77</v>
      </c>
      <c r="D12" s="1" t="s">
        <v>1</v>
      </c>
      <c r="E12" s="1" t="s">
        <v>111</v>
      </c>
      <c r="F12" s="1">
        <v>0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1">
        <v>2</v>
      </c>
      <c r="N12" s="1">
        <v>2</v>
      </c>
      <c r="O12" s="1">
        <v>2</v>
      </c>
      <c r="P12" s="1">
        <v>2</v>
      </c>
      <c r="Q12" s="1">
        <v>2</v>
      </c>
      <c r="T12" s="1">
        <f t="shared" si="0"/>
        <v>22</v>
      </c>
      <c r="U12" s="1">
        <f t="shared" si="1"/>
        <v>11</v>
      </c>
      <c r="V12" s="1">
        <f t="shared" si="3"/>
        <v>11</v>
      </c>
    </row>
    <row r="13" spans="1:22" x14ac:dyDescent="0.2">
      <c r="A13" s="1">
        <v>2024</v>
      </c>
      <c r="B13" s="1" t="s">
        <v>29</v>
      </c>
      <c r="C13" s="2" t="s">
        <v>77</v>
      </c>
      <c r="D13" s="1" t="s">
        <v>1</v>
      </c>
      <c r="E13" s="1" t="s">
        <v>111</v>
      </c>
      <c r="F13" s="1">
        <v>0</v>
      </c>
      <c r="G13" s="1">
        <v>2</v>
      </c>
      <c r="H13" s="1">
        <v>2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2</v>
      </c>
      <c r="O13" s="1">
        <v>2</v>
      </c>
      <c r="P13" s="1">
        <v>2</v>
      </c>
      <c r="Q13" s="1">
        <v>2</v>
      </c>
      <c r="R13" s="1">
        <v>1</v>
      </c>
      <c r="S13" s="1">
        <v>1</v>
      </c>
      <c r="T13" s="1">
        <f t="shared" si="0"/>
        <v>24</v>
      </c>
      <c r="U13" s="1">
        <f t="shared" si="1"/>
        <v>13</v>
      </c>
      <c r="V13" s="1">
        <f t="shared" si="3"/>
        <v>11</v>
      </c>
    </row>
    <row r="14" spans="1:22" x14ac:dyDescent="0.2">
      <c r="A14" s="1">
        <v>2024</v>
      </c>
      <c r="B14" s="1" t="s">
        <v>28</v>
      </c>
      <c r="C14" s="2" t="s">
        <v>77</v>
      </c>
      <c r="D14" s="1" t="s">
        <v>1</v>
      </c>
      <c r="E14" s="1" t="s">
        <v>111</v>
      </c>
      <c r="F14" s="1">
        <v>0</v>
      </c>
      <c r="G14" s="1">
        <v>1</v>
      </c>
      <c r="H14" s="1">
        <v>2</v>
      </c>
      <c r="I14" s="1">
        <v>2</v>
      </c>
      <c r="J14" s="1">
        <v>2</v>
      </c>
      <c r="K14" s="1">
        <v>2</v>
      </c>
      <c r="L14" s="1">
        <v>2</v>
      </c>
      <c r="M14" s="1">
        <v>1</v>
      </c>
      <c r="N14" s="1">
        <v>2</v>
      </c>
      <c r="O14" s="1">
        <v>2</v>
      </c>
      <c r="P14" s="1">
        <v>2</v>
      </c>
      <c r="Q14" s="1">
        <v>3</v>
      </c>
      <c r="R14" s="28" t="s">
        <v>78</v>
      </c>
      <c r="S14" s="28" t="s">
        <v>78</v>
      </c>
      <c r="T14" s="1">
        <f t="shared" si="0"/>
        <v>21</v>
      </c>
      <c r="U14" s="1">
        <f t="shared" si="1"/>
        <v>11</v>
      </c>
      <c r="V14" s="1">
        <f t="shared" si="3"/>
        <v>10</v>
      </c>
    </row>
    <row r="15" spans="1:22" x14ac:dyDescent="0.2">
      <c r="A15" s="1">
        <v>2024</v>
      </c>
      <c r="B15" s="1" t="s">
        <v>27</v>
      </c>
      <c r="C15" s="2" t="s">
        <v>77</v>
      </c>
      <c r="D15" s="1" t="s">
        <v>1</v>
      </c>
      <c r="E15" s="1" t="s">
        <v>103</v>
      </c>
      <c r="F15" s="1">
        <v>0</v>
      </c>
      <c r="G15" s="1">
        <v>3</v>
      </c>
      <c r="H15" s="1">
        <v>2</v>
      </c>
      <c r="I15" s="1">
        <v>2</v>
      </c>
      <c r="J15" s="1">
        <v>2</v>
      </c>
      <c r="K15" s="1">
        <v>3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1">
        <v>2</v>
      </c>
      <c r="R15" s="28" t="s">
        <v>78</v>
      </c>
      <c r="S15" s="28" t="s">
        <v>78</v>
      </c>
      <c r="T15" s="1">
        <f t="shared" si="0"/>
        <v>24</v>
      </c>
      <c r="U15" s="1">
        <f t="shared" si="1"/>
        <v>11</v>
      </c>
      <c r="V15" s="1">
        <f t="shared" si="3"/>
        <v>13</v>
      </c>
    </row>
    <row r="16" spans="1:22" x14ac:dyDescent="0.2">
      <c r="A16" s="1">
        <v>2024</v>
      </c>
      <c r="B16" s="1" t="s">
        <v>26</v>
      </c>
      <c r="C16" s="2" t="s">
        <v>77</v>
      </c>
      <c r="D16" s="1" t="s">
        <v>1</v>
      </c>
      <c r="E16" s="1" t="s">
        <v>111</v>
      </c>
      <c r="F16" s="1">
        <v>0</v>
      </c>
      <c r="G16" s="1">
        <v>3</v>
      </c>
      <c r="H16" s="1">
        <v>3</v>
      </c>
      <c r="I16" s="1">
        <v>2</v>
      </c>
      <c r="J16" s="1">
        <v>3</v>
      </c>
      <c r="K16" s="1">
        <v>3</v>
      </c>
      <c r="L16" s="1">
        <v>3</v>
      </c>
      <c r="M16" s="1">
        <v>3</v>
      </c>
      <c r="N16" s="1">
        <v>3</v>
      </c>
      <c r="O16" s="1">
        <v>3</v>
      </c>
      <c r="P16" s="1">
        <v>3</v>
      </c>
      <c r="Q16" s="1">
        <v>3</v>
      </c>
      <c r="R16" s="1">
        <v>4</v>
      </c>
      <c r="S16" s="1">
        <v>1</v>
      </c>
      <c r="T16" s="1">
        <f t="shared" si="0"/>
        <v>37</v>
      </c>
      <c r="U16" s="1">
        <f t="shared" si="1"/>
        <v>13</v>
      </c>
      <c r="V16" s="1">
        <f t="shared" si="3"/>
        <v>24</v>
      </c>
    </row>
    <row r="17" spans="1:22" x14ac:dyDescent="0.2">
      <c r="A17" s="1">
        <v>2024</v>
      </c>
      <c r="B17" s="1" t="s">
        <v>24</v>
      </c>
      <c r="C17" s="2" t="s">
        <v>77</v>
      </c>
      <c r="D17" s="1" t="s">
        <v>1</v>
      </c>
      <c r="E17" s="1" t="s">
        <v>103</v>
      </c>
      <c r="F17" s="1">
        <v>1</v>
      </c>
      <c r="G17" s="1">
        <v>3</v>
      </c>
      <c r="H17" s="1">
        <v>3</v>
      </c>
      <c r="I17" s="1">
        <v>3</v>
      </c>
      <c r="J17" s="1">
        <v>2</v>
      </c>
      <c r="K17" s="1">
        <v>2</v>
      </c>
      <c r="L17" s="1">
        <v>3</v>
      </c>
      <c r="M17" s="1">
        <v>2</v>
      </c>
      <c r="N17" s="1">
        <v>2</v>
      </c>
      <c r="O17" s="1">
        <v>2</v>
      </c>
      <c r="P17" s="1">
        <v>3</v>
      </c>
      <c r="Q17" s="1">
        <v>3</v>
      </c>
      <c r="R17" s="1">
        <v>3</v>
      </c>
      <c r="S17" s="1">
        <v>1</v>
      </c>
      <c r="T17" s="1">
        <f t="shared" si="0"/>
        <v>32</v>
      </c>
      <c r="U17" s="1">
        <f t="shared" si="1"/>
        <v>13</v>
      </c>
      <c r="V17" s="1">
        <f t="shared" si="3"/>
        <v>19</v>
      </c>
    </row>
    <row r="18" spans="1:22" x14ac:dyDescent="0.2">
      <c r="A18" s="1">
        <v>2024</v>
      </c>
      <c r="B18" s="1" t="s">
        <v>49</v>
      </c>
      <c r="C18" s="2" t="s">
        <v>77</v>
      </c>
      <c r="D18" s="1" t="s">
        <v>1</v>
      </c>
      <c r="E18" s="1" t="s">
        <v>111</v>
      </c>
      <c r="F18" s="1">
        <v>1</v>
      </c>
      <c r="G18" s="1">
        <v>3</v>
      </c>
      <c r="H18" s="1">
        <v>3</v>
      </c>
      <c r="I18" s="1">
        <v>3</v>
      </c>
      <c r="J18" s="1">
        <v>3</v>
      </c>
      <c r="K18" s="1">
        <v>4</v>
      </c>
      <c r="L18" s="1">
        <v>4</v>
      </c>
      <c r="M18" s="1">
        <v>3</v>
      </c>
      <c r="N18" s="1">
        <v>3</v>
      </c>
      <c r="O18" s="1">
        <v>2</v>
      </c>
      <c r="P18" s="1">
        <v>2</v>
      </c>
      <c r="Q18" s="1">
        <v>2</v>
      </c>
      <c r="R18" s="1">
        <v>4</v>
      </c>
      <c r="S18" s="1">
        <v>3</v>
      </c>
      <c r="T18" s="1">
        <f t="shared" si="0"/>
        <v>39</v>
      </c>
      <c r="U18" s="1">
        <f t="shared" si="1"/>
        <v>13</v>
      </c>
      <c r="V18" s="1">
        <f t="shared" si="3"/>
        <v>26</v>
      </c>
    </row>
    <row r="19" spans="1:22" x14ac:dyDescent="0.2">
      <c r="A19" s="1">
        <v>2024</v>
      </c>
      <c r="B19" s="1" t="s">
        <v>23</v>
      </c>
      <c r="C19" s="2" t="s">
        <v>77</v>
      </c>
      <c r="D19" s="1" t="s">
        <v>1</v>
      </c>
      <c r="E19" s="1" t="s">
        <v>103</v>
      </c>
      <c r="F19" s="1">
        <v>0</v>
      </c>
      <c r="G19" s="1">
        <v>2</v>
      </c>
      <c r="H19" s="1">
        <v>2</v>
      </c>
      <c r="I19" s="1">
        <v>2</v>
      </c>
      <c r="J19" s="1">
        <v>3</v>
      </c>
      <c r="K19" s="1">
        <v>3</v>
      </c>
      <c r="L19" s="1">
        <v>3</v>
      </c>
      <c r="M19" s="1">
        <v>3</v>
      </c>
      <c r="N19" s="1">
        <v>3</v>
      </c>
      <c r="O19" s="1">
        <v>1</v>
      </c>
      <c r="P19" s="1">
        <v>4</v>
      </c>
      <c r="Q19" s="1">
        <v>4</v>
      </c>
      <c r="R19" s="1">
        <v>4</v>
      </c>
      <c r="S19" s="1">
        <v>1</v>
      </c>
      <c r="T19" s="1">
        <f t="shared" si="0"/>
        <v>35</v>
      </c>
      <c r="U19" s="1">
        <f t="shared" si="1"/>
        <v>13</v>
      </c>
      <c r="V19" s="1">
        <f t="shared" si="3"/>
        <v>22</v>
      </c>
    </row>
    <row r="20" spans="1:22" x14ac:dyDescent="0.2">
      <c r="A20" s="1">
        <v>2024</v>
      </c>
      <c r="B20" s="1" t="s">
        <v>48</v>
      </c>
      <c r="C20" s="2" t="s">
        <v>77</v>
      </c>
      <c r="D20" s="1" t="s">
        <v>1</v>
      </c>
      <c r="E20" s="1" t="s">
        <v>111</v>
      </c>
      <c r="F20" s="1">
        <v>1</v>
      </c>
      <c r="G20" s="1">
        <v>4</v>
      </c>
      <c r="H20" s="1">
        <v>4</v>
      </c>
      <c r="I20" s="1">
        <v>4</v>
      </c>
      <c r="J20" s="1">
        <v>4</v>
      </c>
      <c r="K20" s="1">
        <v>4</v>
      </c>
      <c r="L20" s="1">
        <v>4</v>
      </c>
      <c r="M20" s="1">
        <v>4</v>
      </c>
      <c r="N20" s="1">
        <v>4</v>
      </c>
      <c r="O20" s="1">
        <v>4</v>
      </c>
      <c r="P20" s="1">
        <v>4</v>
      </c>
      <c r="Q20" s="1">
        <v>4</v>
      </c>
      <c r="R20" s="1">
        <v>4</v>
      </c>
      <c r="S20" s="1">
        <v>2</v>
      </c>
      <c r="T20" s="1">
        <f t="shared" si="0"/>
        <v>50</v>
      </c>
      <c r="U20" s="1">
        <f t="shared" si="1"/>
        <v>13</v>
      </c>
      <c r="V20" s="1">
        <f t="shared" si="3"/>
        <v>37</v>
      </c>
    </row>
    <row r="21" spans="1:22" x14ac:dyDescent="0.2">
      <c r="A21" s="1">
        <v>2024</v>
      </c>
      <c r="B21" s="2" t="s">
        <v>22</v>
      </c>
      <c r="C21" s="2" t="s">
        <v>77</v>
      </c>
      <c r="D21" s="1" t="s">
        <v>1</v>
      </c>
      <c r="E21" s="1" t="s">
        <v>103</v>
      </c>
      <c r="F21" s="1">
        <v>0</v>
      </c>
      <c r="G21" s="1">
        <v>2</v>
      </c>
      <c r="H21" s="1">
        <v>2</v>
      </c>
      <c r="I21" s="1">
        <v>3</v>
      </c>
      <c r="J21" s="1">
        <v>2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3</v>
      </c>
      <c r="Q21" s="1">
        <v>2</v>
      </c>
      <c r="R21" s="1">
        <v>4</v>
      </c>
      <c r="S21" s="1">
        <v>1</v>
      </c>
      <c r="T21" s="1">
        <f t="shared" si="0"/>
        <v>29</v>
      </c>
      <c r="U21" s="1">
        <f t="shared" si="1"/>
        <v>13</v>
      </c>
      <c r="V21" s="1">
        <f t="shared" si="3"/>
        <v>16</v>
      </c>
    </row>
    <row r="22" spans="1:22" x14ac:dyDescent="0.2">
      <c r="A22" s="1">
        <v>2024</v>
      </c>
      <c r="B22" s="2" t="s">
        <v>21</v>
      </c>
      <c r="C22" s="2" t="s">
        <v>77</v>
      </c>
      <c r="D22" s="1" t="s">
        <v>1</v>
      </c>
      <c r="E22" s="1" t="s">
        <v>111</v>
      </c>
      <c r="F22" s="1">
        <v>0</v>
      </c>
      <c r="G22" s="1">
        <v>2</v>
      </c>
      <c r="H22" s="1">
        <v>2</v>
      </c>
      <c r="I22" s="1">
        <v>2</v>
      </c>
      <c r="J22" s="1">
        <v>2</v>
      </c>
      <c r="K22" s="1">
        <v>2</v>
      </c>
      <c r="L22" s="1">
        <v>2</v>
      </c>
      <c r="M22" s="1">
        <v>2</v>
      </c>
      <c r="N22" s="1">
        <v>2</v>
      </c>
      <c r="O22" s="1">
        <v>2</v>
      </c>
      <c r="P22" s="1">
        <v>2</v>
      </c>
      <c r="Q22" s="1">
        <v>2</v>
      </c>
      <c r="R22" s="1">
        <v>4</v>
      </c>
      <c r="S22" s="1">
        <v>2</v>
      </c>
      <c r="T22" s="1">
        <f t="shared" si="0"/>
        <v>28</v>
      </c>
      <c r="U22" s="1">
        <f t="shared" si="1"/>
        <v>13</v>
      </c>
      <c r="V22" s="1">
        <f t="shared" si="3"/>
        <v>15</v>
      </c>
    </row>
    <row r="23" spans="1:22" x14ac:dyDescent="0.2">
      <c r="A23" s="1">
        <v>2024</v>
      </c>
      <c r="B23" s="1" t="s">
        <v>47</v>
      </c>
      <c r="C23" s="2" t="s">
        <v>77</v>
      </c>
      <c r="D23" s="1" t="s">
        <v>1</v>
      </c>
      <c r="E23" s="1" t="s">
        <v>103</v>
      </c>
      <c r="F23" s="1">
        <v>1</v>
      </c>
      <c r="G23" s="1">
        <v>3</v>
      </c>
      <c r="H23" s="1">
        <v>4</v>
      </c>
      <c r="I23" s="1">
        <v>2</v>
      </c>
      <c r="J23" s="1">
        <v>2</v>
      </c>
      <c r="K23" s="1">
        <v>3</v>
      </c>
      <c r="L23" s="1">
        <v>4</v>
      </c>
      <c r="M23" s="1">
        <v>4</v>
      </c>
      <c r="N23" s="1">
        <v>3</v>
      </c>
      <c r="O23" s="1">
        <v>4</v>
      </c>
      <c r="P23" s="1">
        <v>3</v>
      </c>
      <c r="Q23" s="1">
        <v>3</v>
      </c>
      <c r="R23" s="1">
        <v>4</v>
      </c>
      <c r="S23" s="1">
        <v>1</v>
      </c>
      <c r="T23" s="1">
        <f t="shared" si="0"/>
        <v>40</v>
      </c>
      <c r="U23" s="1">
        <f t="shared" si="1"/>
        <v>13</v>
      </c>
      <c r="V23" s="1">
        <f t="shared" si="3"/>
        <v>27</v>
      </c>
    </row>
    <row r="24" spans="1:22" x14ac:dyDescent="0.2">
      <c r="A24" s="1">
        <v>2024</v>
      </c>
      <c r="B24" s="1" t="s">
        <v>19</v>
      </c>
      <c r="C24" s="2" t="s">
        <v>77</v>
      </c>
      <c r="D24" s="1" t="s">
        <v>1</v>
      </c>
      <c r="E24" s="1" t="s">
        <v>111</v>
      </c>
      <c r="F24" s="1">
        <v>0</v>
      </c>
      <c r="G24" s="1">
        <v>3</v>
      </c>
      <c r="H24" s="1">
        <v>3</v>
      </c>
      <c r="I24" s="1">
        <v>3</v>
      </c>
      <c r="J24" s="1">
        <v>3</v>
      </c>
      <c r="K24" s="1">
        <v>3</v>
      </c>
      <c r="L24" s="1">
        <v>2</v>
      </c>
      <c r="M24" s="1">
        <v>2</v>
      </c>
      <c r="N24" s="1">
        <v>2</v>
      </c>
      <c r="O24" s="1">
        <v>2</v>
      </c>
      <c r="P24" s="1">
        <v>3</v>
      </c>
      <c r="Q24" s="1">
        <v>2</v>
      </c>
      <c r="R24" s="1">
        <v>4</v>
      </c>
      <c r="S24" s="1">
        <v>1</v>
      </c>
      <c r="T24" s="1">
        <f t="shared" si="0"/>
        <v>33</v>
      </c>
      <c r="U24" s="1">
        <f t="shared" si="1"/>
        <v>13</v>
      </c>
      <c r="V24" s="1">
        <f t="shared" si="3"/>
        <v>20</v>
      </c>
    </row>
    <row r="25" spans="1:22" x14ac:dyDescent="0.2">
      <c r="A25" s="1">
        <v>2024</v>
      </c>
      <c r="B25" s="1" t="s">
        <v>17</v>
      </c>
      <c r="C25" s="2" t="s">
        <v>77</v>
      </c>
      <c r="D25" s="1" t="s">
        <v>1</v>
      </c>
      <c r="E25" s="1" t="s">
        <v>111</v>
      </c>
      <c r="F25" s="1">
        <v>0</v>
      </c>
      <c r="G25" s="1">
        <v>4</v>
      </c>
      <c r="H25" s="1">
        <v>4</v>
      </c>
      <c r="I25" s="1">
        <v>4</v>
      </c>
      <c r="J25" s="1">
        <v>3</v>
      </c>
      <c r="K25" s="1">
        <v>4</v>
      </c>
      <c r="L25" s="1">
        <v>4</v>
      </c>
      <c r="M25" s="1">
        <v>4</v>
      </c>
      <c r="N25" s="1">
        <v>2</v>
      </c>
      <c r="O25" s="1">
        <v>3</v>
      </c>
      <c r="P25" s="1">
        <v>2</v>
      </c>
      <c r="Q25" s="1">
        <v>2</v>
      </c>
      <c r="R25" s="1">
        <v>4</v>
      </c>
      <c r="S25" s="1">
        <v>4</v>
      </c>
      <c r="T25" s="1">
        <f t="shared" si="0"/>
        <v>44</v>
      </c>
      <c r="U25" s="1">
        <f t="shared" si="1"/>
        <v>13</v>
      </c>
      <c r="V25" s="1">
        <f t="shared" si="3"/>
        <v>31</v>
      </c>
    </row>
    <row r="26" spans="1:22" x14ac:dyDescent="0.2">
      <c r="A26" s="1">
        <v>2024</v>
      </c>
      <c r="B26" s="2" t="s">
        <v>16</v>
      </c>
      <c r="C26" s="2" t="s">
        <v>77</v>
      </c>
      <c r="D26" s="1" t="s">
        <v>1</v>
      </c>
      <c r="E26" s="1" t="s">
        <v>103</v>
      </c>
      <c r="F26" s="1">
        <v>0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3</v>
      </c>
      <c r="Q26" s="1">
        <v>2</v>
      </c>
      <c r="R26" s="28" t="s">
        <v>78</v>
      </c>
      <c r="S26" s="28" t="s">
        <v>78</v>
      </c>
      <c r="T26" s="1">
        <f t="shared" si="0"/>
        <v>23</v>
      </c>
      <c r="U26" s="1">
        <f t="shared" si="1"/>
        <v>11</v>
      </c>
      <c r="V26" s="1">
        <f t="shared" si="3"/>
        <v>12</v>
      </c>
    </row>
    <row r="27" spans="1:22" x14ac:dyDescent="0.2">
      <c r="A27" s="1">
        <v>2024</v>
      </c>
      <c r="B27" s="1" t="s">
        <v>46</v>
      </c>
      <c r="C27" s="2" t="s">
        <v>77</v>
      </c>
      <c r="D27" s="1" t="s">
        <v>1</v>
      </c>
      <c r="E27" s="1" t="s">
        <v>111</v>
      </c>
      <c r="F27" s="1">
        <v>1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2</v>
      </c>
      <c r="R27" s="1">
        <v>1</v>
      </c>
      <c r="S27" s="1">
        <v>1</v>
      </c>
      <c r="T27" s="1">
        <f t="shared" si="0"/>
        <v>24</v>
      </c>
      <c r="U27" s="1">
        <f t="shared" si="1"/>
        <v>13</v>
      </c>
      <c r="V27" s="1">
        <f t="shared" si="3"/>
        <v>11</v>
      </c>
    </row>
    <row r="28" spans="1:22" x14ac:dyDescent="0.2">
      <c r="A28" s="1">
        <v>2024</v>
      </c>
      <c r="B28" s="1" t="s">
        <v>45</v>
      </c>
      <c r="C28" s="2" t="s">
        <v>77</v>
      </c>
      <c r="D28" s="1" t="s">
        <v>1</v>
      </c>
      <c r="E28" s="1" t="s">
        <v>111</v>
      </c>
      <c r="F28" s="1">
        <v>1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1</v>
      </c>
      <c r="P28" s="1">
        <v>2</v>
      </c>
      <c r="Q28" s="1">
        <v>2</v>
      </c>
      <c r="R28" s="1">
        <v>2</v>
      </c>
      <c r="S28" s="1">
        <v>1</v>
      </c>
      <c r="T28" s="1">
        <f t="shared" si="0"/>
        <v>24</v>
      </c>
      <c r="U28" s="1">
        <f t="shared" si="1"/>
        <v>13</v>
      </c>
      <c r="V28" s="1">
        <f t="shared" si="3"/>
        <v>11</v>
      </c>
    </row>
    <row r="29" spans="1:22" x14ac:dyDescent="0.2">
      <c r="A29" s="1">
        <v>2024</v>
      </c>
      <c r="B29" s="1" t="s">
        <v>14</v>
      </c>
      <c r="C29" s="2" t="s">
        <v>77</v>
      </c>
      <c r="D29" s="1" t="s">
        <v>1</v>
      </c>
      <c r="E29" s="1" t="s">
        <v>103</v>
      </c>
      <c r="F29" s="1">
        <v>0</v>
      </c>
      <c r="G29" s="1">
        <v>3</v>
      </c>
      <c r="H29" s="1">
        <v>3</v>
      </c>
      <c r="I29" s="1">
        <v>2</v>
      </c>
      <c r="J29" s="1">
        <v>3</v>
      </c>
      <c r="K29" s="1">
        <v>3</v>
      </c>
      <c r="L29" s="1">
        <v>3</v>
      </c>
      <c r="M29" s="1">
        <v>3</v>
      </c>
      <c r="N29" s="1">
        <v>3</v>
      </c>
      <c r="O29" s="1">
        <v>2</v>
      </c>
      <c r="P29" s="1">
        <v>3</v>
      </c>
      <c r="Q29" s="1">
        <v>3</v>
      </c>
      <c r="R29" s="1">
        <v>4</v>
      </c>
      <c r="S29" s="1">
        <v>3</v>
      </c>
      <c r="T29" s="1">
        <f t="shared" si="0"/>
        <v>38</v>
      </c>
      <c r="U29" s="1">
        <f t="shared" si="1"/>
        <v>13</v>
      </c>
      <c r="V29" s="1">
        <f t="shared" si="3"/>
        <v>25</v>
      </c>
    </row>
    <row r="30" spans="1:22" x14ac:dyDescent="0.2">
      <c r="A30" s="1">
        <v>2024</v>
      </c>
      <c r="B30" s="1" t="s">
        <v>13</v>
      </c>
      <c r="C30" s="2" t="s">
        <v>77</v>
      </c>
      <c r="D30" s="1" t="s">
        <v>1</v>
      </c>
      <c r="E30" s="35" t="s">
        <v>111</v>
      </c>
      <c r="F30" s="1">
        <v>0</v>
      </c>
      <c r="G30" s="1">
        <v>3</v>
      </c>
      <c r="H30" s="1">
        <v>3</v>
      </c>
      <c r="I30" s="1">
        <v>3</v>
      </c>
      <c r="J30" s="1">
        <v>3</v>
      </c>
      <c r="K30" s="1">
        <v>4</v>
      </c>
      <c r="L30" s="1">
        <v>3</v>
      </c>
      <c r="M30" s="1">
        <v>3</v>
      </c>
      <c r="N30" s="1">
        <v>4</v>
      </c>
      <c r="O30" s="1">
        <v>3</v>
      </c>
      <c r="P30" s="1">
        <v>3</v>
      </c>
      <c r="Q30" s="1">
        <v>4</v>
      </c>
      <c r="R30" s="1">
        <v>4</v>
      </c>
      <c r="S30" s="1">
        <v>3</v>
      </c>
      <c r="T30" s="1">
        <f t="shared" si="0"/>
        <v>43</v>
      </c>
      <c r="U30" s="1">
        <f t="shared" si="1"/>
        <v>13</v>
      </c>
      <c r="V30" s="1">
        <f t="shared" si="3"/>
        <v>30</v>
      </c>
    </row>
    <row r="31" spans="1:22" x14ac:dyDescent="0.2">
      <c r="A31" s="1">
        <v>2024</v>
      </c>
      <c r="B31" s="1" t="s">
        <v>12</v>
      </c>
      <c r="C31" s="2" t="s">
        <v>77</v>
      </c>
      <c r="D31" s="1" t="s">
        <v>1</v>
      </c>
      <c r="E31" s="1" t="s">
        <v>103</v>
      </c>
      <c r="F31" s="1">
        <v>0</v>
      </c>
      <c r="G31" s="1">
        <v>2</v>
      </c>
      <c r="H31" s="1">
        <v>2</v>
      </c>
      <c r="I31" s="1">
        <v>2</v>
      </c>
      <c r="J31" s="1">
        <v>2</v>
      </c>
      <c r="K31" s="1">
        <v>2</v>
      </c>
      <c r="L31" s="1">
        <v>1</v>
      </c>
      <c r="M31" s="1">
        <v>2</v>
      </c>
      <c r="N31" s="1">
        <v>3</v>
      </c>
      <c r="O31" s="1">
        <v>2</v>
      </c>
      <c r="P31" s="1">
        <v>2</v>
      </c>
      <c r="Q31" s="1">
        <v>2</v>
      </c>
      <c r="R31" s="28" t="s">
        <v>78</v>
      </c>
      <c r="S31" s="28" t="s">
        <v>78</v>
      </c>
      <c r="T31" s="1">
        <f t="shared" si="0"/>
        <v>22</v>
      </c>
      <c r="U31" s="1">
        <f t="shared" si="1"/>
        <v>11</v>
      </c>
      <c r="V31" s="1">
        <f t="shared" si="3"/>
        <v>11</v>
      </c>
    </row>
    <row r="32" spans="1:22" x14ac:dyDescent="0.2">
      <c r="A32" s="1">
        <v>2024</v>
      </c>
      <c r="B32" s="1" t="s">
        <v>43</v>
      </c>
      <c r="C32" s="2" t="s">
        <v>77</v>
      </c>
      <c r="D32" s="1" t="s">
        <v>1</v>
      </c>
      <c r="E32" s="1" t="s">
        <v>103</v>
      </c>
      <c r="F32" s="1">
        <v>1</v>
      </c>
      <c r="G32" s="1">
        <v>3</v>
      </c>
      <c r="H32" s="1">
        <v>4</v>
      </c>
      <c r="I32" s="1">
        <v>3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3</v>
      </c>
      <c r="Q32" s="1">
        <v>4</v>
      </c>
      <c r="R32" s="1">
        <v>4</v>
      </c>
      <c r="S32" s="1">
        <v>3</v>
      </c>
      <c r="T32" s="1">
        <f t="shared" si="0"/>
        <v>48</v>
      </c>
      <c r="U32" s="1">
        <f t="shared" si="1"/>
        <v>13</v>
      </c>
      <c r="V32" s="1">
        <f t="shared" si="3"/>
        <v>35</v>
      </c>
    </row>
    <row r="33" spans="1:22" x14ac:dyDescent="0.2">
      <c r="A33" s="1">
        <v>2024</v>
      </c>
      <c r="B33" s="1" t="s">
        <v>11</v>
      </c>
      <c r="C33" s="2" t="s">
        <v>77</v>
      </c>
      <c r="D33" s="1" t="s">
        <v>1</v>
      </c>
      <c r="E33" s="1" t="s">
        <v>103</v>
      </c>
      <c r="F33" s="1">
        <v>0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3</v>
      </c>
      <c r="M33" s="1">
        <v>3</v>
      </c>
      <c r="N33" s="1">
        <v>2</v>
      </c>
      <c r="O33" s="1">
        <v>2</v>
      </c>
      <c r="P33" s="1">
        <v>2</v>
      </c>
      <c r="Q33" s="1">
        <v>2</v>
      </c>
      <c r="R33" s="1">
        <v>4</v>
      </c>
      <c r="S33" s="1">
        <v>1</v>
      </c>
      <c r="T33" s="1">
        <f t="shared" si="0"/>
        <v>29</v>
      </c>
      <c r="U33" s="1">
        <f t="shared" si="1"/>
        <v>13</v>
      </c>
      <c r="V33" s="1">
        <f t="shared" si="3"/>
        <v>16</v>
      </c>
    </row>
    <row r="34" spans="1:22" x14ac:dyDescent="0.2">
      <c r="A34" s="1">
        <v>2024</v>
      </c>
      <c r="B34" s="2" t="s">
        <v>10</v>
      </c>
      <c r="C34" s="2" t="s">
        <v>77</v>
      </c>
      <c r="D34" s="1" t="s">
        <v>1</v>
      </c>
      <c r="E34" s="1" t="s">
        <v>111</v>
      </c>
      <c r="F34" s="1">
        <v>0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2</v>
      </c>
      <c r="Q34" s="1">
        <v>2</v>
      </c>
      <c r="R34" s="28" t="s">
        <v>78</v>
      </c>
      <c r="S34" s="28" t="s">
        <v>78</v>
      </c>
      <c r="T34" s="1">
        <f t="shared" ref="T34:T65" si="4">SUM(G34:S34)</f>
        <v>22</v>
      </c>
      <c r="U34" s="1">
        <f t="shared" ref="U34:U70" si="5">COUNT(G34:S34)</f>
        <v>11</v>
      </c>
      <c r="V34" s="1">
        <f t="shared" si="3"/>
        <v>11</v>
      </c>
    </row>
    <row r="35" spans="1:22" x14ac:dyDescent="0.2">
      <c r="A35" s="1">
        <v>2024</v>
      </c>
      <c r="B35" s="2" t="s">
        <v>41</v>
      </c>
      <c r="C35" s="2" t="s">
        <v>77</v>
      </c>
      <c r="D35" s="1" t="s">
        <v>1</v>
      </c>
      <c r="E35" s="1" t="s">
        <v>103</v>
      </c>
      <c r="F35" s="1">
        <v>1</v>
      </c>
      <c r="G35" s="1">
        <v>3</v>
      </c>
      <c r="H35" s="1">
        <v>3</v>
      </c>
      <c r="I35" s="1">
        <v>2</v>
      </c>
      <c r="J35" s="1">
        <v>2</v>
      </c>
      <c r="K35" s="1">
        <v>3</v>
      </c>
      <c r="L35" s="1">
        <v>2</v>
      </c>
      <c r="M35" s="1">
        <v>2</v>
      </c>
      <c r="N35" s="1">
        <v>2</v>
      </c>
      <c r="O35" s="1">
        <v>2</v>
      </c>
      <c r="P35" s="1">
        <v>2</v>
      </c>
      <c r="Q35" s="1">
        <v>3</v>
      </c>
      <c r="R35" s="1">
        <v>4</v>
      </c>
      <c r="S35" s="1">
        <v>2</v>
      </c>
      <c r="T35" s="1">
        <f t="shared" si="4"/>
        <v>32</v>
      </c>
      <c r="U35" s="1">
        <f t="shared" si="5"/>
        <v>13</v>
      </c>
      <c r="V35" s="1">
        <f t="shared" si="3"/>
        <v>19</v>
      </c>
    </row>
    <row r="36" spans="1:22" x14ac:dyDescent="0.2">
      <c r="A36" s="1">
        <v>2024</v>
      </c>
      <c r="B36" s="1" t="s">
        <v>9</v>
      </c>
      <c r="C36" s="2" t="s">
        <v>77</v>
      </c>
      <c r="D36" s="1" t="s">
        <v>1</v>
      </c>
      <c r="E36" s="1" t="s">
        <v>103</v>
      </c>
      <c r="F36" s="1">
        <v>0</v>
      </c>
      <c r="G36" s="1">
        <v>3</v>
      </c>
      <c r="H36" s="1">
        <v>3</v>
      </c>
      <c r="I36" s="1">
        <v>2</v>
      </c>
      <c r="J36" s="1">
        <v>2</v>
      </c>
      <c r="K36" s="1">
        <v>3</v>
      </c>
      <c r="L36" s="1">
        <v>2</v>
      </c>
      <c r="M36" s="1">
        <v>2</v>
      </c>
      <c r="N36" s="1">
        <v>2</v>
      </c>
      <c r="O36" s="1">
        <v>2</v>
      </c>
      <c r="P36" s="1">
        <v>2</v>
      </c>
      <c r="Q36" s="1">
        <v>2</v>
      </c>
      <c r="R36" s="1">
        <v>4</v>
      </c>
      <c r="S36" s="1">
        <v>1</v>
      </c>
      <c r="T36" s="1">
        <f t="shared" si="4"/>
        <v>30</v>
      </c>
      <c r="U36" s="1">
        <f t="shared" si="5"/>
        <v>13</v>
      </c>
      <c r="V36" s="1">
        <f t="shared" si="3"/>
        <v>17</v>
      </c>
    </row>
    <row r="37" spans="1:22" x14ac:dyDescent="0.2">
      <c r="A37" s="1">
        <v>2024</v>
      </c>
      <c r="B37" s="1" t="s">
        <v>8</v>
      </c>
      <c r="C37" s="2" t="s">
        <v>77</v>
      </c>
      <c r="D37" s="1" t="s">
        <v>1</v>
      </c>
      <c r="E37" s="1" t="s">
        <v>111</v>
      </c>
      <c r="F37" s="1">
        <v>0</v>
      </c>
      <c r="G37" s="1">
        <v>3</v>
      </c>
      <c r="H37" s="1">
        <v>3</v>
      </c>
      <c r="I37" s="1">
        <v>2</v>
      </c>
      <c r="J37" s="1">
        <v>3</v>
      </c>
      <c r="K37" s="1">
        <v>3</v>
      </c>
      <c r="L37" s="1">
        <v>3</v>
      </c>
      <c r="M37" s="1">
        <v>3</v>
      </c>
      <c r="N37" s="1">
        <v>3</v>
      </c>
      <c r="O37" s="1">
        <v>2</v>
      </c>
      <c r="P37" s="1">
        <v>3</v>
      </c>
      <c r="Q37" s="1">
        <v>3</v>
      </c>
      <c r="R37" s="1">
        <v>4</v>
      </c>
      <c r="S37" s="1">
        <v>2</v>
      </c>
      <c r="T37" s="1">
        <f t="shared" si="4"/>
        <v>37</v>
      </c>
      <c r="U37" s="1">
        <f t="shared" si="5"/>
        <v>13</v>
      </c>
      <c r="V37" s="1">
        <f t="shared" si="3"/>
        <v>24</v>
      </c>
    </row>
    <row r="38" spans="1:22" x14ac:dyDescent="0.2">
      <c r="A38" s="1">
        <v>2024</v>
      </c>
      <c r="B38" s="1" t="s">
        <v>7</v>
      </c>
      <c r="C38" s="2" t="s">
        <v>77</v>
      </c>
      <c r="D38" s="1" t="s">
        <v>1</v>
      </c>
      <c r="E38" s="1" t="s">
        <v>111</v>
      </c>
      <c r="F38" s="1">
        <v>0</v>
      </c>
      <c r="G38" s="1">
        <v>2</v>
      </c>
      <c r="H38" s="1">
        <v>2</v>
      </c>
      <c r="I38" s="1">
        <v>2</v>
      </c>
      <c r="J38" s="1">
        <v>2</v>
      </c>
      <c r="K38" s="1">
        <v>2</v>
      </c>
      <c r="L38" s="1">
        <v>1</v>
      </c>
      <c r="M38" s="1">
        <v>1</v>
      </c>
      <c r="N38" s="1">
        <v>1</v>
      </c>
      <c r="O38" s="1">
        <v>2</v>
      </c>
      <c r="P38" s="1">
        <v>2</v>
      </c>
      <c r="Q38" s="1">
        <v>1</v>
      </c>
      <c r="R38" s="1">
        <v>1</v>
      </c>
      <c r="S38" s="1">
        <v>1</v>
      </c>
      <c r="T38" s="1">
        <f t="shared" si="4"/>
        <v>20</v>
      </c>
      <c r="U38" s="1">
        <f t="shared" si="5"/>
        <v>13</v>
      </c>
      <c r="V38" s="1">
        <f t="shared" ref="V38:V69" si="6">T38-U38</f>
        <v>7</v>
      </c>
    </row>
    <row r="39" spans="1:22" x14ac:dyDescent="0.2">
      <c r="A39" s="1">
        <v>2024</v>
      </c>
      <c r="B39" s="1" t="s">
        <v>40</v>
      </c>
      <c r="C39" s="2" t="s">
        <v>77</v>
      </c>
      <c r="D39" s="1" t="s">
        <v>1</v>
      </c>
      <c r="E39" s="1" t="s">
        <v>111</v>
      </c>
      <c r="F39" s="1">
        <v>1</v>
      </c>
      <c r="G39" s="1">
        <v>3</v>
      </c>
      <c r="H39" s="1">
        <v>4</v>
      </c>
      <c r="I39" s="1">
        <v>3</v>
      </c>
      <c r="J39" s="1">
        <v>3</v>
      </c>
      <c r="K39" s="1">
        <v>4</v>
      </c>
      <c r="L39" s="1">
        <v>3</v>
      </c>
      <c r="M39" s="1">
        <v>3</v>
      </c>
      <c r="N39" s="1">
        <v>3</v>
      </c>
      <c r="O39" s="1">
        <v>2</v>
      </c>
      <c r="P39" s="1">
        <v>2</v>
      </c>
      <c r="Q39" s="1">
        <v>3</v>
      </c>
      <c r="R39" s="1">
        <v>4</v>
      </c>
      <c r="S39" s="1">
        <v>3</v>
      </c>
      <c r="T39" s="1">
        <f t="shared" si="4"/>
        <v>40</v>
      </c>
      <c r="U39" s="1">
        <f t="shared" si="5"/>
        <v>13</v>
      </c>
      <c r="V39" s="1">
        <f t="shared" si="6"/>
        <v>27</v>
      </c>
    </row>
    <row r="40" spans="1:22" x14ac:dyDescent="0.2">
      <c r="A40" s="1">
        <v>2024</v>
      </c>
      <c r="B40" s="2" t="s">
        <v>6</v>
      </c>
      <c r="C40" s="2" t="s">
        <v>77</v>
      </c>
      <c r="D40" s="1" t="s">
        <v>1</v>
      </c>
      <c r="E40" s="1" t="s">
        <v>103</v>
      </c>
      <c r="F40" s="1">
        <v>0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3</v>
      </c>
      <c r="M40" s="1">
        <v>3</v>
      </c>
      <c r="N40" s="1">
        <v>4</v>
      </c>
      <c r="O40" s="1">
        <v>2</v>
      </c>
      <c r="P40" s="1">
        <v>4</v>
      </c>
      <c r="Q40" s="1">
        <v>4</v>
      </c>
      <c r="R40" s="1">
        <v>4</v>
      </c>
      <c r="S40" s="1">
        <v>4</v>
      </c>
      <c r="T40" s="1">
        <f t="shared" si="4"/>
        <v>48</v>
      </c>
      <c r="U40" s="1">
        <f t="shared" si="5"/>
        <v>13</v>
      </c>
      <c r="V40" s="1">
        <f t="shared" si="6"/>
        <v>35</v>
      </c>
    </row>
    <row r="41" spans="1:22" x14ac:dyDescent="0.2">
      <c r="A41" s="1">
        <v>2024</v>
      </c>
      <c r="B41" s="1" t="s">
        <v>5</v>
      </c>
      <c r="C41" s="2" t="s">
        <v>77</v>
      </c>
      <c r="D41" s="1" t="s">
        <v>1</v>
      </c>
      <c r="E41" s="1" t="s">
        <v>111</v>
      </c>
      <c r="F41" s="1">
        <v>0</v>
      </c>
      <c r="G41" s="1">
        <v>3</v>
      </c>
      <c r="H41" s="1">
        <v>3</v>
      </c>
      <c r="I41" s="1">
        <v>2</v>
      </c>
      <c r="J41" s="1">
        <v>3</v>
      </c>
      <c r="K41" s="1">
        <v>3</v>
      </c>
      <c r="L41" s="1">
        <v>3</v>
      </c>
      <c r="M41" s="1">
        <v>3</v>
      </c>
      <c r="N41" s="1">
        <v>2</v>
      </c>
      <c r="O41" s="1">
        <v>2</v>
      </c>
      <c r="P41" s="1">
        <v>3</v>
      </c>
      <c r="Q41" s="1">
        <v>3</v>
      </c>
      <c r="R41" s="1">
        <v>4</v>
      </c>
      <c r="S41" s="1">
        <v>1</v>
      </c>
      <c r="T41" s="1">
        <f t="shared" si="4"/>
        <v>35</v>
      </c>
      <c r="U41" s="1">
        <f t="shared" si="5"/>
        <v>13</v>
      </c>
      <c r="V41" s="1">
        <f t="shared" si="6"/>
        <v>22</v>
      </c>
    </row>
    <row r="42" spans="1:22" x14ac:dyDescent="0.2">
      <c r="A42" s="1">
        <v>2024</v>
      </c>
      <c r="B42" s="1" t="s">
        <v>4</v>
      </c>
      <c r="C42" s="2" t="s">
        <v>77</v>
      </c>
      <c r="D42" s="1" t="s">
        <v>1</v>
      </c>
      <c r="E42" s="1" t="s">
        <v>111</v>
      </c>
      <c r="F42" s="1">
        <v>0</v>
      </c>
      <c r="G42" s="1">
        <v>3</v>
      </c>
      <c r="H42" s="1">
        <v>3</v>
      </c>
      <c r="I42" s="1">
        <v>2</v>
      </c>
      <c r="J42" s="1">
        <v>3</v>
      </c>
      <c r="K42" s="1">
        <v>3</v>
      </c>
      <c r="L42" s="1">
        <v>3</v>
      </c>
      <c r="M42" s="1">
        <v>3</v>
      </c>
      <c r="N42" s="1">
        <v>3</v>
      </c>
      <c r="O42" s="1">
        <v>3</v>
      </c>
      <c r="P42" s="1">
        <v>3</v>
      </c>
      <c r="Q42" s="1">
        <v>3</v>
      </c>
      <c r="R42" s="1">
        <v>4</v>
      </c>
      <c r="S42" s="1">
        <v>4</v>
      </c>
      <c r="T42" s="1">
        <f t="shared" si="4"/>
        <v>40</v>
      </c>
      <c r="U42" s="1">
        <f t="shared" si="5"/>
        <v>13</v>
      </c>
      <c r="V42" s="1">
        <f t="shared" si="6"/>
        <v>27</v>
      </c>
    </row>
    <row r="43" spans="1:22" x14ac:dyDescent="0.2">
      <c r="A43" s="1">
        <v>2024</v>
      </c>
      <c r="B43" s="1" t="s">
        <v>3</v>
      </c>
      <c r="C43" s="2" t="s">
        <v>77</v>
      </c>
      <c r="D43" s="1" t="s">
        <v>1</v>
      </c>
      <c r="E43" s="1" t="s">
        <v>103</v>
      </c>
      <c r="F43" s="1">
        <v>0</v>
      </c>
      <c r="G43" s="1">
        <v>2</v>
      </c>
      <c r="H43" s="1">
        <v>2</v>
      </c>
      <c r="I43" s="1">
        <v>2</v>
      </c>
      <c r="J43" s="1">
        <v>2</v>
      </c>
      <c r="K43" s="1">
        <v>2</v>
      </c>
      <c r="L43" s="1">
        <v>2</v>
      </c>
      <c r="M43" s="1">
        <v>2</v>
      </c>
      <c r="N43" s="1">
        <v>2</v>
      </c>
      <c r="O43" s="1">
        <v>2</v>
      </c>
      <c r="P43" s="1">
        <v>2</v>
      </c>
      <c r="Q43" s="1">
        <v>2</v>
      </c>
      <c r="R43" s="1">
        <v>4</v>
      </c>
      <c r="S43" s="1">
        <v>1</v>
      </c>
      <c r="T43" s="1">
        <f t="shared" si="4"/>
        <v>27</v>
      </c>
      <c r="U43" s="1">
        <f t="shared" si="5"/>
        <v>13</v>
      </c>
      <c r="V43" s="1">
        <f t="shared" si="6"/>
        <v>14</v>
      </c>
    </row>
    <row r="44" spans="1:22" ht="16" thickBot="1" x14ac:dyDescent="0.25">
      <c r="A44" s="87">
        <v>2024</v>
      </c>
      <c r="B44" s="87" t="s">
        <v>2</v>
      </c>
      <c r="C44" s="92" t="s">
        <v>77</v>
      </c>
      <c r="D44" s="87" t="s">
        <v>1</v>
      </c>
      <c r="E44" s="87" t="s">
        <v>103</v>
      </c>
      <c r="F44" s="94">
        <v>0</v>
      </c>
      <c r="G44" s="87">
        <v>3</v>
      </c>
      <c r="H44" s="87">
        <v>3</v>
      </c>
      <c r="I44" s="87">
        <v>3</v>
      </c>
      <c r="J44" s="87">
        <v>3</v>
      </c>
      <c r="K44" s="87">
        <v>3</v>
      </c>
      <c r="L44" s="87">
        <v>3</v>
      </c>
      <c r="M44" s="87">
        <v>3</v>
      </c>
      <c r="N44" s="87">
        <v>3</v>
      </c>
      <c r="O44" s="87">
        <v>2</v>
      </c>
      <c r="P44" s="87">
        <v>3</v>
      </c>
      <c r="Q44" s="87">
        <v>3</v>
      </c>
      <c r="R44" s="87">
        <v>3</v>
      </c>
      <c r="S44" s="87">
        <v>2</v>
      </c>
      <c r="T44" s="87">
        <f t="shared" si="4"/>
        <v>37</v>
      </c>
      <c r="U44" s="87">
        <f t="shared" si="5"/>
        <v>13</v>
      </c>
      <c r="V44" s="87">
        <f t="shared" si="6"/>
        <v>24</v>
      </c>
    </row>
    <row r="45" spans="1:22" x14ac:dyDescent="0.2">
      <c r="A45" s="1">
        <v>2025</v>
      </c>
      <c r="B45" s="1">
        <v>27</v>
      </c>
      <c r="C45" s="1" t="s">
        <v>77</v>
      </c>
      <c r="D45" s="1" t="s">
        <v>1</v>
      </c>
      <c r="E45" s="1" t="s">
        <v>103</v>
      </c>
      <c r="F45" s="1">
        <v>0</v>
      </c>
      <c r="G45" s="1">
        <v>1</v>
      </c>
      <c r="H45" s="1">
        <v>2</v>
      </c>
      <c r="I45" s="1">
        <v>2</v>
      </c>
      <c r="J45" s="1">
        <v>2</v>
      </c>
      <c r="K45" s="1">
        <v>2</v>
      </c>
      <c r="L45" s="1">
        <v>2</v>
      </c>
      <c r="M45" s="1">
        <v>1</v>
      </c>
      <c r="N45" s="1">
        <v>2</v>
      </c>
      <c r="O45" s="1">
        <v>2</v>
      </c>
      <c r="P45" s="1">
        <v>3</v>
      </c>
      <c r="Q45" s="1">
        <v>2</v>
      </c>
      <c r="R45" s="1">
        <v>0</v>
      </c>
      <c r="S45" s="1">
        <v>0</v>
      </c>
      <c r="T45" s="1">
        <f t="shared" si="4"/>
        <v>21</v>
      </c>
      <c r="U45" s="1">
        <f t="shared" si="5"/>
        <v>13</v>
      </c>
      <c r="V45" s="1">
        <f t="shared" si="6"/>
        <v>8</v>
      </c>
    </row>
    <row r="46" spans="1:22" x14ac:dyDescent="0.2">
      <c r="A46" s="1">
        <v>2025</v>
      </c>
      <c r="B46" s="1">
        <v>28</v>
      </c>
      <c r="C46" s="1" t="s">
        <v>77</v>
      </c>
      <c r="D46" s="1" t="s">
        <v>1</v>
      </c>
      <c r="E46" s="1" t="s">
        <v>103</v>
      </c>
      <c r="F46" s="1">
        <v>0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2</v>
      </c>
      <c r="N46" s="1">
        <v>1</v>
      </c>
      <c r="O46" s="1">
        <v>2</v>
      </c>
      <c r="P46" s="1">
        <v>1</v>
      </c>
      <c r="Q46" s="1">
        <v>1</v>
      </c>
      <c r="R46" s="1">
        <v>0</v>
      </c>
      <c r="S46" s="1">
        <v>0</v>
      </c>
      <c r="T46" s="1">
        <f t="shared" si="4"/>
        <v>13</v>
      </c>
      <c r="U46" s="1">
        <f t="shared" si="5"/>
        <v>13</v>
      </c>
      <c r="V46" s="1">
        <f t="shared" si="6"/>
        <v>0</v>
      </c>
    </row>
    <row r="47" spans="1:22" x14ac:dyDescent="0.2">
      <c r="A47" s="1">
        <v>2025</v>
      </c>
      <c r="B47" s="1">
        <v>29</v>
      </c>
      <c r="C47" s="1" t="s">
        <v>77</v>
      </c>
      <c r="D47" s="1" t="s">
        <v>1</v>
      </c>
      <c r="E47" s="1" t="s">
        <v>111</v>
      </c>
      <c r="F47" s="1">
        <v>1</v>
      </c>
      <c r="G47" s="1">
        <v>2</v>
      </c>
      <c r="H47" s="1">
        <v>2</v>
      </c>
      <c r="I47" s="1">
        <v>3</v>
      </c>
      <c r="J47" s="1">
        <v>2</v>
      </c>
      <c r="K47" s="1">
        <v>3</v>
      </c>
      <c r="L47" s="1">
        <v>2</v>
      </c>
      <c r="M47" s="1">
        <v>2</v>
      </c>
      <c r="N47" s="1">
        <v>2</v>
      </c>
      <c r="O47" s="1">
        <v>2</v>
      </c>
      <c r="P47" s="1">
        <v>3</v>
      </c>
      <c r="Q47" s="1">
        <v>2</v>
      </c>
      <c r="R47" s="1">
        <v>4</v>
      </c>
      <c r="S47" s="1">
        <v>1</v>
      </c>
      <c r="T47" s="1">
        <f t="shared" si="4"/>
        <v>30</v>
      </c>
      <c r="U47" s="1">
        <f t="shared" si="5"/>
        <v>13</v>
      </c>
      <c r="V47" s="1">
        <f t="shared" si="6"/>
        <v>17</v>
      </c>
    </row>
    <row r="48" spans="1:22" x14ac:dyDescent="0.2">
      <c r="A48" s="1">
        <v>2025</v>
      </c>
      <c r="B48" s="1">
        <v>30</v>
      </c>
      <c r="C48" s="1" t="s">
        <v>77</v>
      </c>
      <c r="D48" s="1" t="s">
        <v>1</v>
      </c>
      <c r="E48" s="1" t="s">
        <v>103</v>
      </c>
      <c r="F48" s="1">
        <v>0</v>
      </c>
      <c r="G48" s="1">
        <v>2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2</v>
      </c>
      <c r="O48" s="1">
        <v>2</v>
      </c>
      <c r="P48" s="1">
        <v>2</v>
      </c>
      <c r="Q48" s="1">
        <v>3</v>
      </c>
      <c r="R48" s="1">
        <v>3</v>
      </c>
      <c r="S48" s="1">
        <v>2</v>
      </c>
      <c r="T48" s="1">
        <f t="shared" si="4"/>
        <v>28</v>
      </c>
      <c r="U48" s="1">
        <f t="shared" si="5"/>
        <v>13</v>
      </c>
      <c r="V48" s="1">
        <f t="shared" si="6"/>
        <v>15</v>
      </c>
    </row>
    <row r="49" spans="1:22" x14ac:dyDescent="0.2">
      <c r="A49" s="1">
        <v>2025</v>
      </c>
      <c r="B49" s="1">
        <v>44</v>
      </c>
      <c r="C49" s="1" t="s">
        <v>77</v>
      </c>
      <c r="D49" s="1" t="s">
        <v>1</v>
      </c>
      <c r="E49" s="1" t="s">
        <v>103</v>
      </c>
      <c r="F49" s="1">
        <v>0</v>
      </c>
      <c r="G49" s="1">
        <v>3</v>
      </c>
      <c r="H49" s="1">
        <v>3</v>
      </c>
      <c r="I49" s="1">
        <v>3</v>
      </c>
      <c r="J49" s="1">
        <v>3</v>
      </c>
      <c r="K49" s="1">
        <v>4</v>
      </c>
      <c r="L49" s="1">
        <v>3</v>
      </c>
      <c r="M49" s="1">
        <v>3</v>
      </c>
      <c r="N49" s="1">
        <v>4</v>
      </c>
      <c r="O49" s="1">
        <v>2</v>
      </c>
      <c r="P49" s="1">
        <v>3</v>
      </c>
      <c r="Q49" s="1">
        <v>3</v>
      </c>
      <c r="R49" s="1">
        <v>4</v>
      </c>
      <c r="S49" s="1">
        <v>3</v>
      </c>
      <c r="T49" s="1">
        <f t="shared" si="4"/>
        <v>41</v>
      </c>
      <c r="U49" s="1">
        <f t="shared" si="5"/>
        <v>13</v>
      </c>
      <c r="V49" s="1">
        <f t="shared" si="6"/>
        <v>28</v>
      </c>
    </row>
    <row r="50" spans="1:22" x14ac:dyDescent="0.2">
      <c r="A50" s="1">
        <v>2025</v>
      </c>
      <c r="B50" s="1">
        <v>45</v>
      </c>
      <c r="C50" s="1" t="s">
        <v>77</v>
      </c>
      <c r="D50" s="1" t="s">
        <v>1</v>
      </c>
      <c r="E50" s="1" t="s">
        <v>111</v>
      </c>
      <c r="F50" s="1">
        <v>1</v>
      </c>
      <c r="G50" s="1">
        <v>3</v>
      </c>
      <c r="H50" s="1">
        <v>3</v>
      </c>
      <c r="I50" s="1">
        <v>2</v>
      </c>
      <c r="J50" s="1">
        <v>3</v>
      </c>
      <c r="K50" s="1">
        <v>3</v>
      </c>
      <c r="L50" s="1">
        <v>2</v>
      </c>
      <c r="M50" s="1">
        <v>2</v>
      </c>
      <c r="N50" s="1">
        <v>3</v>
      </c>
      <c r="O50" s="1">
        <v>2</v>
      </c>
      <c r="P50" s="1">
        <v>3</v>
      </c>
      <c r="Q50" s="1">
        <v>2</v>
      </c>
      <c r="R50" s="1">
        <v>4</v>
      </c>
      <c r="S50" s="1">
        <v>2</v>
      </c>
      <c r="T50" s="1">
        <f t="shared" si="4"/>
        <v>34</v>
      </c>
      <c r="U50" s="1">
        <f t="shared" si="5"/>
        <v>13</v>
      </c>
      <c r="V50" s="1">
        <f t="shared" si="6"/>
        <v>21</v>
      </c>
    </row>
    <row r="51" spans="1:22" x14ac:dyDescent="0.2">
      <c r="A51" s="1">
        <v>2025</v>
      </c>
      <c r="B51" s="1">
        <v>46</v>
      </c>
      <c r="C51" s="1" t="s">
        <v>77</v>
      </c>
      <c r="D51" s="1" t="s">
        <v>1</v>
      </c>
      <c r="E51" s="1" t="s">
        <v>111</v>
      </c>
      <c r="F51" s="1">
        <v>0</v>
      </c>
      <c r="G51" s="1">
        <v>3</v>
      </c>
      <c r="H51" s="1">
        <v>3</v>
      </c>
      <c r="I51" s="1">
        <v>3</v>
      </c>
      <c r="J51" s="1">
        <v>2</v>
      </c>
      <c r="K51" s="1">
        <v>3</v>
      </c>
      <c r="L51" s="1">
        <v>3</v>
      </c>
      <c r="M51" s="1">
        <v>3</v>
      </c>
      <c r="N51" s="1">
        <v>2</v>
      </c>
      <c r="O51" s="1">
        <v>2</v>
      </c>
      <c r="P51" s="1">
        <v>2</v>
      </c>
      <c r="Q51" s="1">
        <v>2</v>
      </c>
      <c r="R51" s="1">
        <v>4</v>
      </c>
      <c r="S51" s="1">
        <v>1</v>
      </c>
      <c r="T51" s="1">
        <f t="shared" si="4"/>
        <v>33</v>
      </c>
      <c r="U51" s="1">
        <f t="shared" si="5"/>
        <v>13</v>
      </c>
      <c r="V51" s="1">
        <f t="shared" si="6"/>
        <v>20</v>
      </c>
    </row>
    <row r="52" spans="1:22" x14ac:dyDescent="0.2">
      <c r="A52" s="1">
        <v>2025</v>
      </c>
      <c r="B52" s="1">
        <v>47</v>
      </c>
      <c r="C52" s="1" t="s">
        <v>77</v>
      </c>
      <c r="D52" s="1" t="s">
        <v>1</v>
      </c>
      <c r="E52" s="1" t="s">
        <v>111</v>
      </c>
      <c r="F52" s="1">
        <v>1</v>
      </c>
      <c r="G52" s="1">
        <v>2</v>
      </c>
      <c r="H52" s="1">
        <v>3</v>
      </c>
      <c r="I52" s="1">
        <v>3</v>
      </c>
      <c r="J52" s="1">
        <v>3</v>
      </c>
      <c r="K52" s="1">
        <v>3</v>
      </c>
      <c r="L52" s="1">
        <v>2</v>
      </c>
      <c r="M52" s="1">
        <v>2</v>
      </c>
      <c r="N52" s="1">
        <v>3</v>
      </c>
      <c r="O52" s="1">
        <v>2</v>
      </c>
      <c r="P52" s="1">
        <v>3</v>
      </c>
      <c r="Q52" s="1">
        <v>3</v>
      </c>
      <c r="R52" s="1">
        <v>4</v>
      </c>
      <c r="S52" s="1">
        <v>3</v>
      </c>
      <c r="T52" s="1">
        <f t="shared" si="4"/>
        <v>36</v>
      </c>
      <c r="U52" s="1">
        <f t="shared" si="5"/>
        <v>13</v>
      </c>
      <c r="V52" s="1">
        <f t="shared" si="6"/>
        <v>23</v>
      </c>
    </row>
    <row r="53" spans="1:22" x14ac:dyDescent="0.2">
      <c r="A53" s="1">
        <v>2025</v>
      </c>
      <c r="B53" s="1">
        <v>48</v>
      </c>
      <c r="C53" s="1" t="s">
        <v>77</v>
      </c>
      <c r="D53" s="1" t="s">
        <v>1</v>
      </c>
      <c r="E53" s="1" t="s">
        <v>103</v>
      </c>
      <c r="F53" s="1">
        <v>0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3</v>
      </c>
      <c r="Q53" s="1">
        <v>2</v>
      </c>
      <c r="R53" s="1">
        <v>0</v>
      </c>
      <c r="S53" s="1">
        <v>0</v>
      </c>
      <c r="T53" s="1">
        <f t="shared" si="4"/>
        <v>23</v>
      </c>
      <c r="U53" s="1">
        <f t="shared" si="5"/>
        <v>13</v>
      </c>
      <c r="V53" s="1">
        <f t="shared" si="6"/>
        <v>10</v>
      </c>
    </row>
    <row r="54" spans="1:22" x14ac:dyDescent="0.2">
      <c r="A54" s="1">
        <v>2025</v>
      </c>
      <c r="B54" s="1">
        <v>61</v>
      </c>
      <c r="C54" s="1" t="s">
        <v>77</v>
      </c>
      <c r="D54" s="1" t="s">
        <v>1</v>
      </c>
      <c r="E54" s="1" t="s">
        <v>103</v>
      </c>
      <c r="F54" s="1">
        <v>0</v>
      </c>
      <c r="G54" s="1">
        <v>2</v>
      </c>
      <c r="H54" s="1">
        <v>2</v>
      </c>
      <c r="I54" s="1">
        <v>2</v>
      </c>
      <c r="J54" s="1">
        <v>3</v>
      </c>
      <c r="K54" s="1">
        <v>3</v>
      </c>
      <c r="L54" s="1">
        <v>3</v>
      </c>
      <c r="M54" s="1">
        <v>2</v>
      </c>
      <c r="N54" s="1">
        <v>3</v>
      </c>
      <c r="O54" s="1">
        <v>3</v>
      </c>
      <c r="P54" s="1">
        <v>3</v>
      </c>
      <c r="Q54" s="1">
        <v>3</v>
      </c>
      <c r="R54" s="1">
        <v>0</v>
      </c>
      <c r="S54" s="1">
        <v>1</v>
      </c>
      <c r="T54" s="1">
        <f t="shared" si="4"/>
        <v>30</v>
      </c>
      <c r="U54" s="1">
        <f t="shared" si="5"/>
        <v>13</v>
      </c>
      <c r="V54" s="1">
        <f t="shared" si="6"/>
        <v>17</v>
      </c>
    </row>
    <row r="55" spans="1:22" x14ac:dyDescent="0.2">
      <c r="A55" s="1">
        <v>2025</v>
      </c>
      <c r="B55" s="1">
        <v>62</v>
      </c>
      <c r="C55" s="1" t="s">
        <v>77</v>
      </c>
      <c r="D55" s="1" t="s">
        <v>1</v>
      </c>
      <c r="E55" s="1" t="s">
        <v>103</v>
      </c>
      <c r="F55" s="1">
        <v>0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0</v>
      </c>
      <c r="S55" s="1">
        <v>0</v>
      </c>
      <c r="T55" s="1">
        <f t="shared" si="4"/>
        <v>22</v>
      </c>
      <c r="U55" s="1">
        <f t="shared" si="5"/>
        <v>13</v>
      </c>
      <c r="V55" s="1">
        <f t="shared" si="6"/>
        <v>9</v>
      </c>
    </row>
    <row r="56" spans="1:22" x14ac:dyDescent="0.2">
      <c r="A56" s="1">
        <v>2025</v>
      </c>
      <c r="B56" s="1">
        <v>63</v>
      </c>
      <c r="C56" s="1" t="s">
        <v>77</v>
      </c>
      <c r="D56" s="1" t="s">
        <v>1</v>
      </c>
      <c r="E56" s="1" t="s">
        <v>111</v>
      </c>
      <c r="F56" s="1">
        <v>0</v>
      </c>
      <c r="G56" s="1">
        <v>2</v>
      </c>
      <c r="H56" s="1">
        <v>3</v>
      </c>
      <c r="I56" s="1">
        <v>3</v>
      </c>
      <c r="J56" s="1">
        <v>2</v>
      </c>
      <c r="K56" s="1">
        <v>3</v>
      </c>
      <c r="L56" s="1">
        <v>3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1</v>
      </c>
      <c r="T56" s="1">
        <f t="shared" si="4"/>
        <v>29</v>
      </c>
      <c r="U56" s="1">
        <f t="shared" si="5"/>
        <v>13</v>
      </c>
      <c r="V56" s="1">
        <f t="shared" si="6"/>
        <v>16</v>
      </c>
    </row>
    <row r="57" spans="1:22" x14ac:dyDescent="0.2">
      <c r="A57" s="1">
        <v>2025</v>
      </c>
      <c r="B57" s="1">
        <v>71</v>
      </c>
      <c r="C57" s="1" t="s">
        <v>77</v>
      </c>
      <c r="D57" s="1" t="s">
        <v>1</v>
      </c>
      <c r="E57" s="1" t="s">
        <v>103</v>
      </c>
      <c r="F57" s="1">
        <v>0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2</v>
      </c>
      <c r="O57" s="1">
        <v>1</v>
      </c>
      <c r="P57" s="1">
        <v>1</v>
      </c>
      <c r="Q57" s="1">
        <v>2</v>
      </c>
      <c r="R57" s="1">
        <v>1</v>
      </c>
      <c r="S57" s="1">
        <v>0</v>
      </c>
      <c r="T57" s="1">
        <f t="shared" si="4"/>
        <v>14</v>
      </c>
      <c r="U57" s="1">
        <f t="shared" si="5"/>
        <v>13</v>
      </c>
      <c r="V57" s="1">
        <f t="shared" si="6"/>
        <v>1</v>
      </c>
    </row>
    <row r="58" spans="1:22" x14ac:dyDescent="0.2">
      <c r="A58" s="1">
        <v>2025</v>
      </c>
      <c r="B58" s="1">
        <v>72</v>
      </c>
      <c r="C58" s="1" t="s">
        <v>77</v>
      </c>
      <c r="D58" s="1" t="s">
        <v>1</v>
      </c>
      <c r="E58" s="1" t="s">
        <v>111</v>
      </c>
      <c r="F58" s="1">
        <v>1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0</v>
      </c>
      <c r="S58" s="1">
        <v>0</v>
      </c>
      <c r="T58" s="1">
        <f t="shared" si="4"/>
        <v>22</v>
      </c>
      <c r="U58" s="1">
        <f t="shared" si="5"/>
        <v>13</v>
      </c>
      <c r="V58" s="1">
        <f t="shared" si="6"/>
        <v>9</v>
      </c>
    </row>
    <row r="59" spans="1:22" x14ac:dyDescent="0.2">
      <c r="A59" s="1">
        <v>2025</v>
      </c>
      <c r="B59" s="1">
        <v>73</v>
      </c>
      <c r="C59" s="1" t="s">
        <v>77</v>
      </c>
      <c r="D59" s="1" t="s">
        <v>1</v>
      </c>
      <c r="E59" s="1" t="s">
        <v>111</v>
      </c>
      <c r="F59" s="1">
        <v>0</v>
      </c>
      <c r="G59" s="1">
        <v>4</v>
      </c>
      <c r="H59" s="1">
        <v>3</v>
      </c>
      <c r="I59" s="1">
        <v>2</v>
      </c>
      <c r="J59" s="1">
        <v>4</v>
      </c>
      <c r="K59" s="1">
        <v>4</v>
      </c>
      <c r="L59" s="1">
        <v>3</v>
      </c>
      <c r="M59" s="1">
        <v>3</v>
      </c>
      <c r="N59" s="1">
        <v>3</v>
      </c>
      <c r="O59" s="1">
        <v>3</v>
      </c>
      <c r="P59" s="1">
        <v>3</v>
      </c>
      <c r="Q59" s="1">
        <v>2</v>
      </c>
      <c r="R59" s="1">
        <v>3</v>
      </c>
      <c r="S59" s="1">
        <v>2</v>
      </c>
      <c r="T59" s="1">
        <f t="shared" si="4"/>
        <v>39</v>
      </c>
      <c r="U59" s="1">
        <f t="shared" si="5"/>
        <v>13</v>
      </c>
      <c r="V59" s="1">
        <f t="shared" si="6"/>
        <v>26</v>
      </c>
    </row>
    <row r="60" spans="1:22" x14ac:dyDescent="0.2">
      <c r="A60" s="1">
        <v>2025</v>
      </c>
      <c r="B60" s="1">
        <v>74</v>
      </c>
      <c r="C60" s="1" t="s">
        <v>77</v>
      </c>
      <c r="D60" s="1" t="s">
        <v>1</v>
      </c>
      <c r="E60" s="1" t="s">
        <v>103</v>
      </c>
      <c r="F60" s="1">
        <v>0</v>
      </c>
      <c r="G60" s="1">
        <v>3</v>
      </c>
      <c r="H60" s="1">
        <v>3</v>
      </c>
      <c r="I60" s="1">
        <v>2</v>
      </c>
      <c r="J60" s="1">
        <v>2</v>
      </c>
      <c r="K60" s="1">
        <v>3</v>
      </c>
      <c r="L60" s="1">
        <v>2</v>
      </c>
      <c r="M60" s="1">
        <v>3</v>
      </c>
      <c r="N60" s="1">
        <v>2</v>
      </c>
      <c r="O60" s="1">
        <v>2</v>
      </c>
      <c r="P60" s="1">
        <v>3</v>
      </c>
      <c r="Q60" s="1">
        <v>3</v>
      </c>
      <c r="R60" s="1">
        <v>4</v>
      </c>
      <c r="S60" s="1">
        <v>3</v>
      </c>
      <c r="T60" s="1">
        <f t="shared" si="4"/>
        <v>35</v>
      </c>
      <c r="U60" s="1">
        <f t="shared" si="5"/>
        <v>13</v>
      </c>
      <c r="V60" s="1">
        <f t="shared" si="6"/>
        <v>22</v>
      </c>
    </row>
    <row r="61" spans="1:22" x14ac:dyDescent="0.2">
      <c r="A61" s="1">
        <v>2025</v>
      </c>
      <c r="B61" s="1">
        <v>75</v>
      </c>
      <c r="C61" s="1" t="s">
        <v>77</v>
      </c>
      <c r="D61" s="1" t="s">
        <v>1</v>
      </c>
      <c r="E61" s="1" t="s">
        <v>103</v>
      </c>
      <c r="F61" s="1">
        <v>0</v>
      </c>
      <c r="G61" s="1">
        <v>3</v>
      </c>
      <c r="H61" s="1">
        <v>3</v>
      </c>
      <c r="I61" s="1">
        <v>3</v>
      </c>
      <c r="J61" s="1">
        <v>2</v>
      </c>
      <c r="K61" s="1">
        <v>3</v>
      </c>
      <c r="L61" s="1">
        <v>3</v>
      </c>
      <c r="M61" s="1">
        <v>3</v>
      </c>
      <c r="N61" s="1">
        <v>2</v>
      </c>
      <c r="O61" s="1">
        <v>2</v>
      </c>
      <c r="P61" s="1">
        <v>2</v>
      </c>
      <c r="Q61" s="1">
        <v>2</v>
      </c>
      <c r="R61" s="1">
        <v>4</v>
      </c>
      <c r="S61" s="1">
        <v>1</v>
      </c>
      <c r="T61" s="1">
        <f t="shared" si="4"/>
        <v>33</v>
      </c>
      <c r="U61" s="1">
        <f t="shared" si="5"/>
        <v>13</v>
      </c>
      <c r="V61" s="1">
        <f t="shared" si="6"/>
        <v>20</v>
      </c>
    </row>
    <row r="62" spans="1:22" x14ac:dyDescent="0.2">
      <c r="A62" s="1">
        <v>2025</v>
      </c>
      <c r="B62" s="1">
        <v>76</v>
      </c>
      <c r="C62" s="1" t="s">
        <v>77</v>
      </c>
      <c r="D62" s="1" t="s">
        <v>1</v>
      </c>
      <c r="E62" s="1" t="s">
        <v>103</v>
      </c>
      <c r="F62" s="1">
        <v>0</v>
      </c>
      <c r="G62" s="1">
        <v>2</v>
      </c>
      <c r="H62" s="1">
        <v>3</v>
      </c>
      <c r="I62" s="1">
        <v>2</v>
      </c>
      <c r="J62" s="1">
        <v>2</v>
      </c>
      <c r="K62" s="1">
        <v>2</v>
      </c>
      <c r="L62" s="1">
        <v>3</v>
      </c>
      <c r="M62" s="1">
        <v>3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f t="shared" si="4"/>
        <v>29</v>
      </c>
      <c r="U62" s="1">
        <f t="shared" si="5"/>
        <v>13</v>
      </c>
      <c r="V62" s="1">
        <f t="shared" si="6"/>
        <v>16</v>
      </c>
    </row>
    <row r="63" spans="1:22" x14ac:dyDescent="0.2">
      <c r="A63" s="1">
        <v>2025</v>
      </c>
      <c r="B63" s="1">
        <v>77</v>
      </c>
      <c r="C63" s="1" t="s">
        <v>77</v>
      </c>
      <c r="D63" s="1" t="s">
        <v>1</v>
      </c>
      <c r="E63" s="1" t="s">
        <v>111</v>
      </c>
      <c r="F63" s="1">
        <v>1</v>
      </c>
      <c r="G63" s="1">
        <v>4</v>
      </c>
      <c r="H63" s="1">
        <v>4</v>
      </c>
      <c r="I63" s="1">
        <v>4</v>
      </c>
      <c r="J63" s="1">
        <v>2</v>
      </c>
      <c r="K63" s="1">
        <v>4</v>
      </c>
      <c r="L63" s="1">
        <v>4</v>
      </c>
      <c r="M63" s="1">
        <v>3</v>
      </c>
      <c r="N63" s="1">
        <v>4</v>
      </c>
      <c r="O63" s="1">
        <v>4</v>
      </c>
      <c r="P63" s="1">
        <v>2</v>
      </c>
      <c r="Q63" s="1">
        <v>2</v>
      </c>
      <c r="R63" s="1">
        <v>4</v>
      </c>
      <c r="S63" s="1">
        <v>4</v>
      </c>
      <c r="T63" s="1">
        <f t="shared" si="4"/>
        <v>45</v>
      </c>
      <c r="U63" s="1">
        <f t="shared" si="5"/>
        <v>13</v>
      </c>
      <c r="V63" s="1">
        <f t="shared" si="6"/>
        <v>32</v>
      </c>
    </row>
    <row r="64" spans="1:22" x14ac:dyDescent="0.2">
      <c r="A64" s="1">
        <v>2025</v>
      </c>
      <c r="B64" s="1">
        <v>78</v>
      </c>
      <c r="C64" s="1" t="s">
        <v>77</v>
      </c>
      <c r="D64" s="1" t="s">
        <v>1</v>
      </c>
      <c r="E64" s="1" t="s">
        <v>103</v>
      </c>
      <c r="F64" s="1">
        <v>0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3</v>
      </c>
      <c r="M64" s="1">
        <v>3</v>
      </c>
      <c r="N64" s="1">
        <v>2</v>
      </c>
      <c r="O64" s="1">
        <v>2</v>
      </c>
      <c r="P64" s="1">
        <v>2</v>
      </c>
      <c r="Q64" s="1">
        <v>3</v>
      </c>
      <c r="R64" s="1">
        <v>0</v>
      </c>
      <c r="S64" s="1">
        <v>0</v>
      </c>
      <c r="T64" s="1">
        <f t="shared" si="4"/>
        <v>25</v>
      </c>
      <c r="U64" s="1">
        <f t="shared" si="5"/>
        <v>13</v>
      </c>
      <c r="V64" s="1">
        <f t="shared" si="6"/>
        <v>12</v>
      </c>
    </row>
    <row r="65" spans="1:22" x14ac:dyDescent="0.2">
      <c r="A65" s="1">
        <v>2025</v>
      </c>
      <c r="B65" s="1">
        <v>79</v>
      </c>
      <c r="C65" s="1" t="s">
        <v>77</v>
      </c>
      <c r="D65" s="1" t="s">
        <v>1</v>
      </c>
      <c r="E65" s="1" t="s">
        <v>103</v>
      </c>
      <c r="F65" s="1">
        <v>0</v>
      </c>
      <c r="G65" s="1">
        <v>3</v>
      </c>
      <c r="H65" s="1">
        <v>3</v>
      </c>
      <c r="I65" s="1">
        <v>3</v>
      </c>
      <c r="J65" s="1">
        <v>3</v>
      </c>
      <c r="K65" s="1">
        <v>3</v>
      </c>
      <c r="L65" s="1">
        <v>2</v>
      </c>
      <c r="M65" s="1">
        <v>3</v>
      </c>
      <c r="N65" s="1">
        <v>2</v>
      </c>
      <c r="O65" s="1">
        <v>2</v>
      </c>
      <c r="P65" s="1">
        <v>2</v>
      </c>
      <c r="Q65" s="1">
        <v>3</v>
      </c>
      <c r="R65" s="1">
        <v>2</v>
      </c>
      <c r="S65" s="1">
        <v>3</v>
      </c>
      <c r="T65" s="1">
        <f t="shared" si="4"/>
        <v>34</v>
      </c>
      <c r="U65" s="1">
        <f t="shared" si="5"/>
        <v>13</v>
      </c>
      <c r="V65" s="1">
        <f t="shared" si="6"/>
        <v>21</v>
      </c>
    </row>
    <row r="66" spans="1:22" x14ac:dyDescent="0.2">
      <c r="A66" s="1">
        <v>2025</v>
      </c>
      <c r="B66" s="1">
        <v>80</v>
      </c>
      <c r="C66" s="1" t="s">
        <v>77</v>
      </c>
      <c r="D66" s="1" t="s">
        <v>1</v>
      </c>
      <c r="E66" s="1" t="s">
        <v>111</v>
      </c>
      <c r="F66" s="1">
        <v>1</v>
      </c>
      <c r="G66" s="1">
        <v>3</v>
      </c>
      <c r="H66" s="1">
        <v>3</v>
      </c>
      <c r="I66" s="1">
        <v>3</v>
      </c>
      <c r="J66" s="1">
        <v>3</v>
      </c>
      <c r="K66" s="1">
        <v>3</v>
      </c>
      <c r="L66" s="1">
        <v>3</v>
      </c>
      <c r="M66" s="1">
        <v>3</v>
      </c>
      <c r="N66" s="1">
        <v>4</v>
      </c>
      <c r="O66" s="1">
        <v>4</v>
      </c>
      <c r="P66" s="1">
        <v>4</v>
      </c>
      <c r="Q66" s="1">
        <v>4</v>
      </c>
      <c r="R66" s="1">
        <v>4</v>
      </c>
      <c r="S66" s="1">
        <v>1</v>
      </c>
      <c r="T66" s="1">
        <f t="shared" ref="T66:T97" si="7">SUM(G66:S66)</f>
        <v>42</v>
      </c>
      <c r="U66" s="1">
        <f t="shared" si="5"/>
        <v>13</v>
      </c>
      <c r="V66" s="1">
        <f t="shared" si="6"/>
        <v>29</v>
      </c>
    </row>
    <row r="67" spans="1:22" x14ac:dyDescent="0.2">
      <c r="A67" s="1">
        <v>2025</v>
      </c>
      <c r="B67" s="1">
        <v>96</v>
      </c>
      <c r="C67" s="1" t="s">
        <v>77</v>
      </c>
      <c r="D67" s="1" t="s">
        <v>1</v>
      </c>
      <c r="E67" s="1" t="s">
        <v>103</v>
      </c>
      <c r="F67" s="1">
        <v>0</v>
      </c>
      <c r="G67" s="1">
        <v>3</v>
      </c>
      <c r="H67" s="1">
        <v>3</v>
      </c>
      <c r="I67" s="1">
        <v>3</v>
      </c>
      <c r="J67" s="1">
        <v>3</v>
      </c>
      <c r="K67" s="1">
        <v>3</v>
      </c>
      <c r="L67" s="1">
        <v>3</v>
      </c>
      <c r="M67" s="1">
        <v>3</v>
      </c>
      <c r="N67" s="1">
        <v>3</v>
      </c>
      <c r="O67" s="1">
        <v>2</v>
      </c>
      <c r="P67" s="1">
        <v>3</v>
      </c>
      <c r="Q67" s="1">
        <v>3</v>
      </c>
      <c r="R67" s="1">
        <v>4</v>
      </c>
      <c r="S67" s="1">
        <v>2</v>
      </c>
      <c r="T67" s="1">
        <f t="shared" si="7"/>
        <v>38</v>
      </c>
      <c r="U67" s="1">
        <f t="shared" si="5"/>
        <v>13</v>
      </c>
      <c r="V67" s="1">
        <f t="shared" si="6"/>
        <v>25</v>
      </c>
    </row>
    <row r="68" spans="1:22" x14ac:dyDescent="0.2">
      <c r="A68" s="1">
        <v>2025</v>
      </c>
      <c r="B68" s="1">
        <v>97</v>
      </c>
      <c r="C68" s="1" t="s">
        <v>77</v>
      </c>
      <c r="D68" s="1" t="s">
        <v>1</v>
      </c>
      <c r="E68" s="1" t="s">
        <v>103</v>
      </c>
      <c r="F68" s="1">
        <v>0</v>
      </c>
      <c r="G68" s="1">
        <v>3</v>
      </c>
      <c r="H68" s="1">
        <v>2</v>
      </c>
      <c r="I68" s="1">
        <v>3</v>
      </c>
      <c r="J68" s="1">
        <v>3</v>
      </c>
      <c r="K68" s="1">
        <v>3</v>
      </c>
      <c r="L68" s="1">
        <v>3</v>
      </c>
      <c r="M68" s="1">
        <v>3</v>
      </c>
      <c r="N68" s="1">
        <v>3</v>
      </c>
      <c r="O68" s="1">
        <v>3</v>
      </c>
      <c r="P68" s="1">
        <v>3</v>
      </c>
      <c r="Q68" s="1">
        <v>3</v>
      </c>
      <c r="R68" s="1">
        <v>2</v>
      </c>
      <c r="S68" s="1">
        <v>4</v>
      </c>
      <c r="T68" s="1">
        <f t="shared" si="7"/>
        <v>38</v>
      </c>
      <c r="U68" s="1">
        <f t="shared" si="5"/>
        <v>13</v>
      </c>
      <c r="V68" s="1">
        <f t="shared" si="6"/>
        <v>25</v>
      </c>
    </row>
    <row r="69" spans="1:22" x14ac:dyDescent="0.2">
      <c r="A69" s="1">
        <v>2025</v>
      </c>
      <c r="B69" s="1">
        <v>98</v>
      </c>
      <c r="C69" s="1" t="s">
        <v>77</v>
      </c>
      <c r="D69" s="1" t="s">
        <v>1</v>
      </c>
      <c r="E69" s="1" t="s">
        <v>111</v>
      </c>
      <c r="F69" s="1">
        <v>1</v>
      </c>
      <c r="G69" s="1">
        <v>3</v>
      </c>
      <c r="H69" s="1">
        <v>3</v>
      </c>
      <c r="I69" s="1">
        <v>3</v>
      </c>
      <c r="J69" s="1">
        <v>3</v>
      </c>
      <c r="K69" s="1">
        <v>3</v>
      </c>
      <c r="L69" s="1">
        <v>4</v>
      </c>
      <c r="M69" s="1">
        <v>4</v>
      </c>
      <c r="N69" s="1">
        <v>3</v>
      </c>
      <c r="O69" s="1">
        <v>2</v>
      </c>
      <c r="P69" s="1">
        <v>4</v>
      </c>
      <c r="Q69" s="1">
        <v>4</v>
      </c>
      <c r="R69" s="1">
        <v>4</v>
      </c>
      <c r="S69" s="1">
        <v>1</v>
      </c>
      <c r="T69" s="1">
        <f t="shared" si="7"/>
        <v>41</v>
      </c>
      <c r="U69" s="1">
        <f t="shared" si="5"/>
        <v>13</v>
      </c>
      <c r="V69" s="1">
        <f t="shared" si="6"/>
        <v>28</v>
      </c>
    </row>
    <row r="70" spans="1:22" x14ac:dyDescent="0.2">
      <c r="A70" s="1">
        <v>2025</v>
      </c>
      <c r="B70" s="1">
        <v>99</v>
      </c>
      <c r="C70" s="1" t="s">
        <v>77</v>
      </c>
      <c r="D70" s="1" t="s">
        <v>1</v>
      </c>
      <c r="E70" s="1" t="s">
        <v>111</v>
      </c>
      <c r="F70" s="1">
        <v>1</v>
      </c>
      <c r="G70" s="1">
        <v>2</v>
      </c>
      <c r="H70" s="1">
        <v>2</v>
      </c>
      <c r="I70" s="1">
        <v>2</v>
      </c>
      <c r="J70" s="1">
        <v>2</v>
      </c>
      <c r="K70" s="1">
        <v>2</v>
      </c>
      <c r="L70" s="1">
        <v>2</v>
      </c>
      <c r="M70" s="1">
        <v>2</v>
      </c>
      <c r="N70" s="1">
        <v>2</v>
      </c>
      <c r="O70" s="1">
        <v>2</v>
      </c>
      <c r="P70" s="1">
        <v>2</v>
      </c>
      <c r="Q70" s="1">
        <v>2</v>
      </c>
      <c r="R70" s="1">
        <v>0</v>
      </c>
      <c r="S70" s="1">
        <v>0</v>
      </c>
      <c r="T70" s="1">
        <f t="shared" si="7"/>
        <v>22</v>
      </c>
      <c r="U70" s="1">
        <f t="shared" si="5"/>
        <v>13</v>
      </c>
      <c r="V70" s="1">
        <f t="shared" ref="V70:V101" si="8">T70-U70</f>
        <v>9</v>
      </c>
    </row>
    <row r="72" spans="1:22" x14ac:dyDescent="0.2">
      <c r="B72" s="30"/>
    </row>
    <row r="73" spans="1:22" x14ac:dyDescent="0.2">
      <c r="B73" s="30"/>
    </row>
    <row r="74" spans="1:22" x14ac:dyDescent="0.2">
      <c r="B74" s="30"/>
    </row>
    <row r="75" spans="1:22" x14ac:dyDescent="0.2">
      <c r="B75" s="30"/>
    </row>
    <row r="81" spans="2:2" x14ac:dyDescent="0.2">
      <c r="B81" s="30"/>
    </row>
    <row r="82" spans="2:2" x14ac:dyDescent="0.2">
      <c r="B82" s="30"/>
    </row>
    <row r="83" spans="2:2" x14ac:dyDescent="0.2">
      <c r="B83" s="30"/>
    </row>
    <row r="84" spans="2:2" x14ac:dyDescent="0.2">
      <c r="B84" s="30"/>
    </row>
    <row r="85" spans="2:2" x14ac:dyDescent="0.2">
      <c r="B85" s="30"/>
    </row>
    <row r="86" spans="2:2" x14ac:dyDescent="0.2">
      <c r="B86" s="30"/>
    </row>
    <row r="87" spans="2:2" x14ac:dyDescent="0.2">
      <c r="B87" s="30"/>
    </row>
    <row r="88" spans="2:2" x14ac:dyDescent="0.2">
      <c r="B88" s="30"/>
    </row>
    <row r="89" spans="2:2" x14ac:dyDescent="0.2">
      <c r="B89" s="30"/>
    </row>
    <row r="90" spans="2:2" x14ac:dyDescent="0.2">
      <c r="B90" s="30"/>
    </row>
    <row r="104" spans="2:2" x14ac:dyDescent="0.2">
      <c r="B104" s="30"/>
    </row>
    <row r="105" spans="2:2" x14ac:dyDescent="0.2">
      <c r="B105" s="30"/>
    </row>
    <row r="106" spans="2:2" x14ac:dyDescent="0.2">
      <c r="B106" s="30"/>
    </row>
    <row r="107" spans="2:2" x14ac:dyDescent="0.2">
      <c r="B107" s="30"/>
    </row>
    <row r="108" spans="2:2" x14ac:dyDescent="0.2">
      <c r="B108" s="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E82D-3E30-B743-B6A5-5DEB18ACE9D6}">
  <dimension ref="A1:U101"/>
  <sheetViews>
    <sheetView topLeftCell="F1" zoomScaleNormal="100" workbookViewId="0">
      <pane ySplit="1" topLeftCell="A34" activePane="bottomLeft" state="frozen"/>
      <selection pane="bottomLeft" activeCell="U1" sqref="U1"/>
    </sheetView>
  </sheetViews>
  <sheetFormatPr baseColWidth="10" defaultRowHeight="15" x14ac:dyDescent="0.2"/>
  <cols>
    <col min="1" max="16" width="10.83203125" style="1"/>
    <col min="17" max="17" width="21.83203125" style="1" bestFit="1" customWidth="1"/>
    <col min="18" max="16384" width="10.83203125" style="1"/>
  </cols>
  <sheetData>
    <row r="1" spans="1:21" x14ac:dyDescent="0.2">
      <c r="A1" s="1" t="s">
        <v>58</v>
      </c>
      <c r="B1" s="1" t="s">
        <v>55</v>
      </c>
      <c r="C1" s="1" t="s">
        <v>59</v>
      </c>
      <c r="D1" s="1" t="s">
        <v>60</v>
      </c>
      <c r="E1" s="1" t="s">
        <v>86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 x14ac:dyDescent="0.2">
      <c r="A2" s="1">
        <v>2024</v>
      </c>
      <c r="B2" s="2" t="s">
        <v>38</v>
      </c>
      <c r="C2" s="2" t="s">
        <v>77</v>
      </c>
      <c r="D2" s="1" t="s">
        <v>1</v>
      </c>
      <c r="E2" s="1" t="s">
        <v>111</v>
      </c>
      <c r="F2" s="1">
        <v>2</v>
      </c>
      <c r="G2" s="1">
        <v>3</v>
      </c>
      <c r="H2" s="1">
        <v>3</v>
      </c>
      <c r="I2" s="1">
        <v>3</v>
      </c>
      <c r="J2" s="1">
        <v>3</v>
      </c>
      <c r="K2" s="1">
        <v>3</v>
      </c>
      <c r="L2" s="1">
        <v>3</v>
      </c>
      <c r="M2" s="1">
        <v>3</v>
      </c>
      <c r="N2" s="1">
        <v>2</v>
      </c>
      <c r="O2" s="1">
        <v>3</v>
      </c>
      <c r="P2" s="1">
        <v>3</v>
      </c>
      <c r="S2" s="1">
        <v>31</v>
      </c>
      <c r="T2" s="1">
        <v>11</v>
      </c>
      <c r="U2" s="1">
        <v>20</v>
      </c>
    </row>
    <row r="3" spans="1:21" x14ac:dyDescent="0.2">
      <c r="A3" s="1">
        <v>2024</v>
      </c>
      <c r="B3" s="2" t="s">
        <v>37</v>
      </c>
      <c r="C3" s="2" t="s">
        <v>77</v>
      </c>
      <c r="D3" s="1" t="s">
        <v>1</v>
      </c>
      <c r="E3" s="1" t="s">
        <v>103</v>
      </c>
      <c r="F3" s="1">
        <v>3</v>
      </c>
      <c r="G3" s="1">
        <v>3</v>
      </c>
      <c r="H3" s="1">
        <v>2</v>
      </c>
      <c r="I3" s="1">
        <v>3</v>
      </c>
      <c r="J3" s="1">
        <v>3</v>
      </c>
      <c r="K3" s="1">
        <v>2</v>
      </c>
      <c r="L3" s="1">
        <v>2</v>
      </c>
      <c r="M3" s="1">
        <v>3</v>
      </c>
      <c r="N3" s="1">
        <v>2</v>
      </c>
      <c r="O3" s="1">
        <v>3</v>
      </c>
      <c r="P3" s="1">
        <v>2</v>
      </c>
      <c r="Q3" s="1">
        <v>2</v>
      </c>
      <c r="R3" s="1">
        <v>1</v>
      </c>
      <c r="S3" s="1">
        <v>31</v>
      </c>
      <c r="T3" s="1">
        <v>13</v>
      </c>
      <c r="U3" s="1">
        <v>18</v>
      </c>
    </row>
    <row r="4" spans="1:21" x14ac:dyDescent="0.2">
      <c r="A4" s="1">
        <v>2024</v>
      </c>
      <c r="B4" s="2" t="s">
        <v>36</v>
      </c>
      <c r="C4" s="2" t="s">
        <v>77</v>
      </c>
      <c r="D4" s="1" t="s">
        <v>1</v>
      </c>
      <c r="E4" s="1" t="s">
        <v>111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1">
        <v>2</v>
      </c>
      <c r="O4" s="1">
        <v>2</v>
      </c>
      <c r="P4" s="1">
        <v>2</v>
      </c>
      <c r="Q4" s="1">
        <v>1</v>
      </c>
      <c r="R4" s="1">
        <v>1</v>
      </c>
      <c r="S4" s="1">
        <v>24</v>
      </c>
      <c r="T4" s="1">
        <v>13</v>
      </c>
      <c r="U4" s="1">
        <v>11</v>
      </c>
    </row>
    <row r="5" spans="1:21" x14ac:dyDescent="0.2">
      <c r="A5" s="1">
        <v>2024</v>
      </c>
      <c r="B5" s="2" t="s">
        <v>35</v>
      </c>
      <c r="C5" s="2" t="s">
        <v>77</v>
      </c>
      <c r="D5" s="1" t="s">
        <v>1</v>
      </c>
      <c r="E5" s="1" t="s">
        <v>111</v>
      </c>
      <c r="F5" s="35">
        <v>3</v>
      </c>
      <c r="G5" s="1">
        <v>3</v>
      </c>
      <c r="H5" s="1">
        <v>3</v>
      </c>
      <c r="I5" s="1">
        <v>2</v>
      </c>
      <c r="J5" s="1">
        <v>3</v>
      </c>
      <c r="K5" s="1">
        <v>2</v>
      </c>
      <c r="L5" s="1">
        <v>2</v>
      </c>
      <c r="M5" s="1">
        <v>3</v>
      </c>
      <c r="N5" s="1">
        <v>2</v>
      </c>
      <c r="O5" s="1">
        <v>2</v>
      </c>
      <c r="P5" s="1">
        <v>2</v>
      </c>
      <c r="Q5" s="1">
        <v>4</v>
      </c>
      <c r="R5" s="1">
        <v>2</v>
      </c>
      <c r="S5" s="1">
        <v>33</v>
      </c>
      <c r="T5" s="1">
        <v>13</v>
      </c>
      <c r="U5" s="1">
        <v>20</v>
      </c>
    </row>
    <row r="6" spans="1:21" x14ac:dyDescent="0.2">
      <c r="A6" s="1">
        <v>2024</v>
      </c>
      <c r="B6" s="1" t="s">
        <v>34</v>
      </c>
      <c r="C6" s="2" t="s">
        <v>77</v>
      </c>
      <c r="D6" s="1" t="s">
        <v>1</v>
      </c>
      <c r="E6" s="1" t="s">
        <v>111</v>
      </c>
      <c r="F6" s="1">
        <v>2</v>
      </c>
      <c r="G6" s="1">
        <v>2</v>
      </c>
      <c r="H6" s="1">
        <v>2</v>
      </c>
      <c r="I6" s="1">
        <v>3</v>
      </c>
      <c r="J6" s="1">
        <v>2</v>
      </c>
      <c r="K6" s="1">
        <v>3</v>
      </c>
      <c r="L6" s="1">
        <v>2</v>
      </c>
      <c r="M6" s="1">
        <v>2</v>
      </c>
      <c r="N6" s="1">
        <v>2</v>
      </c>
      <c r="O6" s="1">
        <v>2</v>
      </c>
      <c r="P6" s="1">
        <v>3</v>
      </c>
      <c r="Q6" s="1">
        <v>3</v>
      </c>
      <c r="R6" s="28">
        <v>1</v>
      </c>
      <c r="S6" s="1">
        <v>29</v>
      </c>
      <c r="T6" s="1">
        <v>13</v>
      </c>
      <c r="U6" s="1">
        <v>16</v>
      </c>
    </row>
    <row r="7" spans="1:21" x14ac:dyDescent="0.2">
      <c r="A7" s="1">
        <v>2024</v>
      </c>
      <c r="B7" s="1" t="s">
        <v>33</v>
      </c>
      <c r="C7" s="2" t="s">
        <v>77</v>
      </c>
      <c r="D7" s="1" t="s">
        <v>1</v>
      </c>
      <c r="E7" s="1" t="s">
        <v>103</v>
      </c>
      <c r="F7" s="1">
        <v>3</v>
      </c>
      <c r="G7" s="1">
        <v>3</v>
      </c>
      <c r="H7" s="1">
        <v>3</v>
      </c>
      <c r="I7" s="1">
        <v>3</v>
      </c>
      <c r="J7" s="1">
        <v>3</v>
      </c>
      <c r="K7" s="1">
        <v>3</v>
      </c>
      <c r="L7" s="1">
        <v>2</v>
      </c>
      <c r="M7" s="1">
        <v>2</v>
      </c>
      <c r="N7" s="1">
        <v>2</v>
      </c>
      <c r="O7" s="1">
        <v>2</v>
      </c>
      <c r="P7" s="1">
        <v>3</v>
      </c>
      <c r="Q7" s="1">
        <v>4</v>
      </c>
      <c r="R7" s="1">
        <v>1</v>
      </c>
      <c r="S7" s="1">
        <v>34</v>
      </c>
      <c r="T7" s="1">
        <v>13</v>
      </c>
      <c r="U7" s="1">
        <v>21</v>
      </c>
    </row>
    <row r="8" spans="1:21" x14ac:dyDescent="0.2">
      <c r="A8" s="1">
        <v>2024</v>
      </c>
      <c r="B8" s="1" t="s">
        <v>32</v>
      </c>
      <c r="C8" s="2" t="s">
        <v>77</v>
      </c>
      <c r="D8" s="1" t="s">
        <v>1</v>
      </c>
      <c r="E8" s="1" t="s">
        <v>103</v>
      </c>
      <c r="F8" s="1">
        <v>2</v>
      </c>
      <c r="G8" s="1">
        <v>2</v>
      </c>
      <c r="H8" s="1">
        <v>2</v>
      </c>
      <c r="I8" s="1">
        <v>2</v>
      </c>
      <c r="J8" s="1">
        <v>2</v>
      </c>
      <c r="K8" s="1">
        <v>2</v>
      </c>
      <c r="L8" s="1">
        <v>2</v>
      </c>
      <c r="M8" s="1">
        <v>3</v>
      </c>
      <c r="N8" s="1">
        <v>2</v>
      </c>
      <c r="O8" s="1">
        <v>2</v>
      </c>
      <c r="P8" s="1">
        <v>2</v>
      </c>
      <c r="Q8" s="1" t="s">
        <v>78</v>
      </c>
      <c r="R8" s="1">
        <v>1</v>
      </c>
      <c r="S8" s="1">
        <v>24</v>
      </c>
      <c r="T8" s="1">
        <v>12</v>
      </c>
      <c r="U8" s="1">
        <v>12</v>
      </c>
    </row>
    <row r="9" spans="1:21" x14ac:dyDescent="0.2">
      <c r="A9" s="1">
        <v>2024</v>
      </c>
      <c r="B9" s="1" t="s">
        <v>31</v>
      </c>
      <c r="C9" s="2" t="s">
        <v>77</v>
      </c>
      <c r="D9" s="1" t="s">
        <v>1</v>
      </c>
      <c r="E9" s="1" t="s">
        <v>103</v>
      </c>
      <c r="F9" s="1">
        <v>3</v>
      </c>
      <c r="G9" s="1">
        <v>3</v>
      </c>
      <c r="H9" s="1">
        <v>2</v>
      </c>
      <c r="I9" s="1">
        <v>2</v>
      </c>
      <c r="J9" s="1">
        <v>1</v>
      </c>
      <c r="K9" s="1">
        <v>3</v>
      </c>
      <c r="L9" s="1">
        <v>3</v>
      </c>
      <c r="M9" s="1">
        <v>2</v>
      </c>
      <c r="N9" s="1">
        <v>3</v>
      </c>
      <c r="O9" s="1">
        <v>3</v>
      </c>
      <c r="P9" s="1">
        <v>3</v>
      </c>
      <c r="Q9" s="1">
        <v>3</v>
      </c>
      <c r="R9" s="1">
        <v>1</v>
      </c>
      <c r="S9" s="1">
        <v>32</v>
      </c>
      <c r="T9" s="1">
        <v>13</v>
      </c>
      <c r="U9" s="1">
        <v>19</v>
      </c>
    </row>
    <row r="10" spans="1:21" x14ac:dyDescent="0.2">
      <c r="A10" s="1">
        <v>2024</v>
      </c>
      <c r="B10" s="1" t="s">
        <v>30</v>
      </c>
      <c r="C10" s="2" t="s">
        <v>77</v>
      </c>
      <c r="D10" s="1" t="s">
        <v>1</v>
      </c>
      <c r="E10" s="1" t="s">
        <v>111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2</v>
      </c>
      <c r="R10" s="28"/>
      <c r="S10" s="28">
        <v>22</v>
      </c>
      <c r="T10" s="1">
        <v>11</v>
      </c>
      <c r="U10" s="1">
        <v>11</v>
      </c>
    </row>
    <row r="11" spans="1:21" x14ac:dyDescent="0.2">
      <c r="A11" s="1">
        <v>2024</v>
      </c>
      <c r="B11" s="1" t="s">
        <v>29</v>
      </c>
      <c r="C11" s="2" t="s">
        <v>77</v>
      </c>
      <c r="D11" s="1" t="s">
        <v>1</v>
      </c>
      <c r="E11" s="1" t="s">
        <v>111</v>
      </c>
      <c r="F11" s="1">
        <v>2</v>
      </c>
      <c r="G11" s="1">
        <v>2</v>
      </c>
      <c r="H11" s="1">
        <v>2</v>
      </c>
      <c r="I11" s="1">
        <v>2</v>
      </c>
      <c r="J11" s="1">
        <v>2</v>
      </c>
      <c r="K11" s="1">
        <v>2</v>
      </c>
      <c r="L11" s="1">
        <v>2</v>
      </c>
      <c r="M11" s="1">
        <v>2</v>
      </c>
      <c r="N11" s="1">
        <v>2</v>
      </c>
      <c r="O11" s="1">
        <v>2</v>
      </c>
      <c r="P11" s="1">
        <v>2</v>
      </c>
      <c r="Q11" s="1">
        <v>1</v>
      </c>
      <c r="R11" s="28">
        <v>1</v>
      </c>
      <c r="S11" s="28">
        <v>24</v>
      </c>
      <c r="T11" s="1">
        <v>13</v>
      </c>
      <c r="U11" s="1">
        <v>11</v>
      </c>
    </row>
    <row r="12" spans="1:21" x14ac:dyDescent="0.2">
      <c r="A12" s="1">
        <v>2024</v>
      </c>
      <c r="B12" s="1" t="s">
        <v>28</v>
      </c>
      <c r="C12" s="2" t="s">
        <v>77</v>
      </c>
      <c r="D12" s="1" t="s">
        <v>1</v>
      </c>
      <c r="E12" s="1" t="s">
        <v>111</v>
      </c>
      <c r="F12" s="1">
        <v>1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1</v>
      </c>
      <c r="M12" s="1">
        <v>2</v>
      </c>
      <c r="N12" s="1">
        <v>2</v>
      </c>
      <c r="O12" s="1">
        <v>2</v>
      </c>
      <c r="P12" s="1">
        <v>3</v>
      </c>
      <c r="Q12" s="1" t="s">
        <v>78</v>
      </c>
      <c r="R12" s="1" t="s">
        <v>78</v>
      </c>
      <c r="S12" s="1">
        <v>21</v>
      </c>
      <c r="T12" s="1">
        <v>11</v>
      </c>
      <c r="U12" s="1">
        <v>10</v>
      </c>
    </row>
    <row r="13" spans="1:21" x14ac:dyDescent="0.2">
      <c r="A13" s="1">
        <v>2024</v>
      </c>
      <c r="B13" s="1" t="s">
        <v>27</v>
      </c>
      <c r="C13" s="2" t="s">
        <v>77</v>
      </c>
      <c r="D13" s="1" t="s">
        <v>1</v>
      </c>
      <c r="E13" s="1" t="s">
        <v>103</v>
      </c>
      <c r="F13" s="1">
        <v>3</v>
      </c>
      <c r="G13" s="1">
        <v>2</v>
      </c>
      <c r="H13" s="1">
        <v>2</v>
      </c>
      <c r="I13" s="1">
        <v>2</v>
      </c>
      <c r="J13" s="1">
        <v>3</v>
      </c>
      <c r="K13" s="1">
        <v>2</v>
      </c>
      <c r="L13" s="1">
        <v>2</v>
      </c>
      <c r="M13" s="1">
        <v>2</v>
      </c>
      <c r="N13" s="1">
        <v>2</v>
      </c>
      <c r="O13" s="1">
        <v>2</v>
      </c>
      <c r="P13" s="1">
        <v>2</v>
      </c>
      <c r="Q13" s="1" t="s">
        <v>78</v>
      </c>
      <c r="R13" s="1" t="s">
        <v>78</v>
      </c>
      <c r="S13" s="1">
        <v>24</v>
      </c>
      <c r="T13" s="1">
        <v>11</v>
      </c>
      <c r="U13" s="1">
        <v>13</v>
      </c>
    </row>
    <row r="14" spans="1:21" x14ac:dyDescent="0.2">
      <c r="A14" s="1">
        <v>2024</v>
      </c>
      <c r="B14" s="2" t="s">
        <v>26</v>
      </c>
      <c r="C14" s="2" t="s">
        <v>77</v>
      </c>
      <c r="D14" s="1" t="s">
        <v>1</v>
      </c>
      <c r="E14" s="1" t="s">
        <v>111</v>
      </c>
      <c r="F14" s="1">
        <v>3</v>
      </c>
      <c r="G14" s="1">
        <v>3</v>
      </c>
      <c r="H14" s="1">
        <v>2</v>
      </c>
      <c r="I14" s="1">
        <v>3</v>
      </c>
      <c r="J14" s="1">
        <v>3</v>
      </c>
      <c r="K14" s="1">
        <v>3</v>
      </c>
      <c r="L14" s="1">
        <v>3</v>
      </c>
      <c r="M14" s="1">
        <v>3</v>
      </c>
      <c r="N14" s="1">
        <v>3</v>
      </c>
      <c r="O14" s="1">
        <v>3</v>
      </c>
      <c r="P14" s="1">
        <v>3</v>
      </c>
      <c r="Q14" s="1">
        <v>4</v>
      </c>
      <c r="R14" s="1">
        <v>1</v>
      </c>
      <c r="S14" s="1">
        <v>37</v>
      </c>
      <c r="T14" s="1">
        <v>13</v>
      </c>
      <c r="U14" s="1">
        <v>24</v>
      </c>
    </row>
    <row r="15" spans="1:21" x14ac:dyDescent="0.2">
      <c r="A15" s="1">
        <v>2024</v>
      </c>
      <c r="B15" s="1" t="s">
        <v>23</v>
      </c>
      <c r="C15" s="2" t="s">
        <v>77</v>
      </c>
      <c r="D15" s="1" t="s">
        <v>1</v>
      </c>
      <c r="E15" s="1" t="s">
        <v>103</v>
      </c>
      <c r="F15" s="1">
        <v>2</v>
      </c>
      <c r="G15" s="1">
        <v>2</v>
      </c>
      <c r="H15" s="1">
        <v>2</v>
      </c>
      <c r="I15" s="1">
        <v>3</v>
      </c>
      <c r="J15" s="1">
        <v>3</v>
      </c>
      <c r="K15" s="1">
        <v>3</v>
      </c>
      <c r="L15" s="1">
        <v>3</v>
      </c>
      <c r="M15" s="1">
        <v>3</v>
      </c>
      <c r="N15" s="1">
        <v>1</v>
      </c>
      <c r="O15" s="1">
        <v>4</v>
      </c>
      <c r="P15" s="1">
        <v>4</v>
      </c>
      <c r="Q15" s="1">
        <v>4</v>
      </c>
      <c r="R15" s="1">
        <v>1</v>
      </c>
      <c r="S15" s="1">
        <v>35</v>
      </c>
      <c r="T15" s="1">
        <v>13</v>
      </c>
      <c r="U15" s="1">
        <v>22</v>
      </c>
    </row>
    <row r="16" spans="1:21" x14ac:dyDescent="0.2">
      <c r="A16" s="1">
        <v>2024</v>
      </c>
      <c r="B16" s="1" t="s">
        <v>22</v>
      </c>
      <c r="C16" s="2" t="s">
        <v>77</v>
      </c>
      <c r="D16" s="1" t="s">
        <v>1</v>
      </c>
      <c r="E16" s="1" t="s">
        <v>103</v>
      </c>
      <c r="F16" s="1">
        <v>2</v>
      </c>
      <c r="G16" s="1">
        <v>2</v>
      </c>
      <c r="H16" s="1">
        <v>3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3</v>
      </c>
      <c r="P16" s="1">
        <v>2</v>
      </c>
      <c r="Q16" s="1">
        <v>4</v>
      </c>
      <c r="R16" s="1">
        <v>1</v>
      </c>
      <c r="S16" s="1">
        <v>29</v>
      </c>
      <c r="T16" s="1">
        <v>13</v>
      </c>
      <c r="U16" s="1">
        <v>16</v>
      </c>
    </row>
    <row r="17" spans="1:21" x14ac:dyDescent="0.2">
      <c r="A17" s="1">
        <v>2024</v>
      </c>
      <c r="B17" s="1" t="s">
        <v>21</v>
      </c>
      <c r="C17" s="2" t="s">
        <v>77</v>
      </c>
      <c r="D17" s="1" t="s">
        <v>1</v>
      </c>
      <c r="E17" s="1" t="s">
        <v>111</v>
      </c>
      <c r="F17" s="35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4</v>
      </c>
      <c r="R17" s="1">
        <v>2</v>
      </c>
      <c r="S17" s="1">
        <v>28</v>
      </c>
      <c r="T17" s="1">
        <v>13</v>
      </c>
      <c r="U17" s="1">
        <v>15</v>
      </c>
    </row>
    <row r="18" spans="1:21" x14ac:dyDescent="0.2">
      <c r="A18" s="1">
        <v>2024</v>
      </c>
      <c r="B18" s="1" t="s">
        <v>19</v>
      </c>
      <c r="C18" s="2" t="s">
        <v>77</v>
      </c>
      <c r="D18" s="1" t="s">
        <v>1</v>
      </c>
      <c r="E18" s="1" t="s">
        <v>111</v>
      </c>
      <c r="F18" s="1">
        <v>3</v>
      </c>
      <c r="G18" s="1">
        <v>3</v>
      </c>
      <c r="H18" s="1">
        <v>3</v>
      </c>
      <c r="I18" s="1">
        <v>3</v>
      </c>
      <c r="J18" s="1">
        <v>3</v>
      </c>
      <c r="K18" s="1">
        <v>2</v>
      </c>
      <c r="L18" s="1">
        <v>2</v>
      </c>
      <c r="M18" s="1">
        <v>2</v>
      </c>
      <c r="N18" s="1">
        <v>2</v>
      </c>
      <c r="O18" s="1">
        <v>3</v>
      </c>
      <c r="P18" s="1">
        <v>2</v>
      </c>
      <c r="Q18" s="1">
        <v>4</v>
      </c>
      <c r="R18" s="1">
        <v>1</v>
      </c>
      <c r="S18" s="1">
        <v>33</v>
      </c>
      <c r="T18" s="1">
        <v>13</v>
      </c>
      <c r="U18" s="1">
        <v>20</v>
      </c>
    </row>
    <row r="19" spans="1:21" x14ac:dyDescent="0.2">
      <c r="A19" s="1">
        <v>2024</v>
      </c>
      <c r="B19" s="1" t="s">
        <v>17</v>
      </c>
      <c r="C19" s="2" t="s">
        <v>77</v>
      </c>
      <c r="D19" s="1" t="s">
        <v>1</v>
      </c>
      <c r="E19" s="1" t="s">
        <v>111</v>
      </c>
      <c r="F19" s="1">
        <v>4</v>
      </c>
      <c r="G19" s="1">
        <v>4</v>
      </c>
      <c r="H19" s="1">
        <v>4</v>
      </c>
      <c r="I19" s="1">
        <v>3</v>
      </c>
      <c r="J19" s="1">
        <v>4</v>
      </c>
      <c r="K19" s="1">
        <v>4</v>
      </c>
      <c r="L19" s="1">
        <v>4</v>
      </c>
      <c r="M19" s="1">
        <v>2</v>
      </c>
      <c r="N19" s="1">
        <v>3</v>
      </c>
      <c r="O19" s="1">
        <v>2</v>
      </c>
      <c r="P19" s="1">
        <v>2</v>
      </c>
      <c r="Q19" s="1">
        <v>4</v>
      </c>
      <c r="R19" s="1">
        <v>4</v>
      </c>
      <c r="S19" s="1">
        <v>44</v>
      </c>
      <c r="T19" s="1">
        <v>13</v>
      </c>
      <c r="U19" s="1">
        <v>31</v>
      </c>
    </row>
    <row r="20" spans="1:21" x14ac:dyDescent="0.2">
      <c r="A20" s="1">
        <v>2024</v>
      </c>
      <c r="B20" s="1" t="s">
        <v>16</v>
      </c>
      <c r="C20" s="2" t="s">
        <v>77</v>
      </c>
      <c r="D20" s="1" t="s">
        <v>1</v>
      </c>
      <c r="E20" s="1" t="s">
        <v>103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2</v>
      </c>
      <c r="L20" s="1">
        <v>2</v>
      </c>
      <c r="M20" s="1">
        <v>2</v>
      </c>
      <c r="N20" s="1">
        <v>2</v>
      </c>
      <c r="O20" s="1">
        <v>3</v>
      </c>
      <c r="P20" s="1">
        <v>2</v>
      </c>
      <c r="Q20" s="1" t="s">
        <v>78</v>
      </c>
      <c r="R20" s="1" t="s">
        <v>78</v>
      </c>
      <c r="S20" s="1">
        <v>23</v>
      </c>
      <c r="T20" s="1">
        <v>11</v>
      </c>
      <c r="U20" s="1">
        <v>12</v>
      </c>
    </row>
    <row r="21" spans="1:21" x14ac:dyDescent="0.2">
      <c r="A21" s="1">
        <v>2024</v>
      </c>
      <c r="B21" s="1" t="s">
        <v>14</v>
      </c>
      <c r="C21" s="2" t="s">
        <v>77</v>
      </c>
      <c r="D21" s="1" t="s">
        <v>1</v>
      </c>
      <c r="E21" s="1" t="s">
        <v>103</v>
      </c>
      <c r="F21" s="1">
        <v>3</v>
      </c>
      <c r="G21" s="1">
        <v>3</v>
      </c>
      <c r="H21" s="1">
        <v>2</v>
      </c>
      <c r="I21" s="1">
        <v>3</v>
      </c>
      <c r="J21" s="1">
        <v>3</v>
      </c>
      <c r="K21" s="1">
        <v>3</v>
      </c>
      <c r="L21" s="1">
        <v>3</v>
      </c>
      <c r="M21" s="1">
        <v>3</v>
      </c>
      <c r="N21" s="1">
        <v>2</v>
      </c>
      <c r="O21" s="1">
        <v>3</v>
      </c>
      <c r="P21" s="1">
        <v>3</v>
      </c>
      <c r="Q21" s="1">
        <v>4</v>
      </c>
      <c r="R21" s="1">
        <v>3</v>
      </c>
      <c r="S21" s="1">
        <v>38</v>
      </c>
      <c r="T21" s="1">
        <v>13</v>
      </c>
      <c r="U21" s="1">
        <v>25</v>
      </c>
    </row>
    <row r="22" spans="1:21" x14ac:dyDescent="0.2">
      <c r="A22" s="1">
        <v>2024</v>
      </c>
      <c r="B22" s="1" t="s">
        <v>13</v>
      </c>
      <c r="C22" s="2" t="s">
        <v>77</v>
      </c>
      <c r="D22" s="1" t="s">
        <v>1</v>
      </c>
      <c r="E22" s="1" t="s">
        <v>111</v>
      </c>
      <c r="F22" s="1">
        <v>3</v>
      </c>
      <c r="G22" s="1">
        <v>3</v>
      </c>
      <c r="H22" s="1">
        <v>3</v>
      </c>
      <c r="I22" s="1">
        <v>3</v>
      </c>
      <c r="J22" s="1">
        <v>4</v>
      </c>
      <c r="K22" s="1">
        <v>3</v>
      </c>
      <c r="L22" s="1">
        <v>3</v>
      </c>
      <c r="M22" s="1">
        <v>4</v>
      </c>
      <c r="N22" s="1">
        <v>3</v>
      </c>
      <c r="O22" s="1">
        <v>3</v>
      </c>
      <c r="P22" s="1">
        <v>4</v>
      </c>
      <c r="Q22" s="1">
        <v>4</v>
      </c>
      <c r="R22" s="1">
        <v>3</v>
      </c>
      <c r="S22" s="1">
        <v>43</v>
      </c>
      <c r="T22" s="1">
        <v>13</v>
      </c>
      <c r="U22" s="1">
        <v>30</v>
      </c>
    </row>
    <row r="23" spans="1:21" x14ac:dyDescent="0.2">
      <c r="A23" s="1">
        <v>2024</v>
      </c>
      <c r="B23" s="1" t="s">
        <v>12</v>
      </c>
      <c r="C23" s="2" t="s">
        <v>77</v>
      </c>
      <c r="D23" s="1" t="s">
        <v>1</v>
      </c>
      <c r="E23" s="1" t="s">
        <v>103</v>
      </c>
      <c r="F23" s="1">
        <v>2</v>
      </c>
      <c r="G23" s="1">
        <v>2</v>
      </c>
      <c r="H23" s="1">
        <v>2</v>
      </c>
      <c r="I23" s="1">
        <v>2</v>
      </c>
      <c r="J23" s="1">
        <v>2</v>
      </c>
      <c r="K23" s="1">
        <v>1</v>
      </c>
      <c r="L23" s="1">
        <v>2</v>
      </c>
      <c r="M23" s="1">
        <v>3</v>
      </c>
      <c r="N23" s="1">
        <v>2</v>
      </c>
      <c r="O23" s="1">
        <v>2</v>
      </c>
      <c r="P23" s="1">
        <v>2</v>
      </c>
      <c r="Q23" s="1" t="s">
        <v>78</v>
      </c>
      <c r="R23" s="1" t="s">
        <v>78</v>
      </c>
      <c r="S23" s="1">
        <v>22</v>
      </c>
      <c r="T23" s="1">
        <v>11</v>
      </c>
      <c r="U23" s="1">
        <v>11</v>
      </c>
    </row>
    <row r="24" spans="1:21" x14ac:dyDescent="0.2">
      <c r="A24" s="1">
        <v>2024</v>
      </c>
      <c r="B24" s="1" t="s">
        <v>11</v>
      </c>
      <c r="C24" s="1" t="s">
        <v>77</v>
      </c>
      <c r="D24" s="1" t="s">
        <v>1</v>
      </c>
      <c r="E24" s="1" t="s">
        <v>103</v>
      </c>
      <c r="F24" s="1">
        <v>2</v>
      </c>
      <c r="G24" s="1">
        <v>2</v>
      </c>
      <c r="H24" s="1">
        <v>2</v>
      </c>
      <c r="I24" s="1">
        <v>2</v>
      </c>
      <c r="J24" s="1">
        <v>2</v>
      </c>
      <c r="K24" s="1">
        <v>3</v>
      </c>
      <c r="L24" s="1">
        <v>3</v>
      </c>
      <c r="M24" s="1">
        <v>2</v>
      </c>
      <c r="N24" s="1">
        <v>2</v>
      </c>
      <c r="O24" s="1">
        <v>2</v>
      </c>
      <c r="P24" s="1">
        <v>2</v>
      </c>
      <c r="Q24" s="1">
        <v>4</v>
      </c>
      <c r="R24" s="1">
        <v>1</v>
      </c>
      <c r="S24" s="1">
        <v>29</v>
      </c>
      <c r="T24" s="1">
        <v>13</v>
      </c>
      <c r="U24" s="1">
        <v>16</v>
      </c>
    </row>
    <row r="25" spans="1:21" x14ac:dyDescent="0.2">
      <c r="A25" s="1">
        <v>2024</v>
      </c>
      <c r="B25" s="1" t="s">
        <v>10</v>
      </c>
      <c r="C25" s="1" t="s">
        <v>77</v>
      </c>
      <c r="D25" s="1" t="s">
        <v>1</v>
      </c>
      <c r="E25" s="1" t="s">
        <v>111</v>
      </c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M25" s="1">
        <v>2</v>
      </c>
      <c r="N25" s="1">
        <v>2</v>
      </c>
      <c r="O25" s="1">
        <v>2</v>
      </c>
      <c r="P25" s="1">
        <v>2</v>
      </c>
      <c r="Q25" s="1" t="s">
        <v>78</v>
      </c>
      <c r="R25" s="1" t="s">
        <v>78</v>
      </c>
      <c r="S25" s="1">
        <v>22</v>
      </c>
      <c r="T25" s="1">
        <v>11</v>
      </c>
      <c r="U25" s="1">
        <v>11</v>
      </c>
    </row>
    <row r="26" spans="1:21" x14ac:dyDescent="0.2">
      <c r="A26" s="1">
        <v>2024</v>
      </c>
      <c r="B26" s="1" t="s">
        <v>9</v>
      </c>
      <c r="C26" s="1" t="s">
        <v>77</v>
      </c>
      <c r="D26" s="1" t="s">
        <v>1</v>
      </c>
      <c r="E26" s="1" t="s">
        <v>103</v>
      </c>
      <c r="F26" s="1">
        <v>3</v>
      </c>
      <c r="G26" s="1">
        <v>3</v>
      </c>
      <c r="H26" s="1">
        <v>2</v>
      </c>
      <c r="I26" s="1">
        <v>2</v>
      </c>
      <c r="J26" s="1">
        <v>3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4</v>
      </c>
      <c r="R26" s="1">
        <v>1</v>
      </c>
      <c r="S26" s="1">
        <v>30</v>
      </c>
      <c r="T26" s="1">
        <v>13</v>
      </c>
      <c r="U26" s="1">
        <v>17</v>
      </c>
    </row>
    <row r="27" spans="1:21" x14ac:dyDescent="0.2">
      <c r="A27" s="1">
        <v>2024</v>
      </c>
      <c r="B27" s="1" t="s">
        <v>8</v>
      </c>
      <c r="C27" s="1" t="s">
        <v>77</v>
      </c>
      <c r="D27" s="1" t="s">
        <v>1</v>
      </c>
      <c r="E27" s="1" t="s">
        <v>111</v>
      </c>
      <c r="F27" s="1">
        <v>3</v>
      </c>
      <c r="G27" s="1">
        <v>3</v>
      </c>
      <c r="H27" s="1">
        <v>2</v>
      </c>
      <c r="I27" s="1">
        <v>3</v>
      </c>
      <c r="J27" s="1">
        <v>3</v>
      </c>
      <c r="K27" s="1">
        <v>3</v>
      </c>
      <c r="L27" s="1">
        <v>3</v>
      </c>
      <c r="M27" s="1">
        <v>3</v>
      </c>
      <c r="N27" s="1">
        <v>2</v>
      </c>
      <c r="O27" s="1">
        <v>3</v>
      </c>
      <c r="P27" s="1">
        <v>3</v>
      </c>
      <c r="Q27" s="1">
        <v>4</v>
      </c>
      <c r="R27" s="1">
        <v>2</v>
      </c>
      <c r="S27" s="1">
        <v>37</v>
      </c>
      <c r="T27" s="1">
        <v>13</v>
      </c>
      <c r="U27" s="1">
        <v>24</v>
      </c>
    </row>
    <row r="28" spans="1:21" x14ac:dyDescent="0.2">
      <c r="A28" s="1">
        <v>2024</v>
      </c>
      <c r="B28" s="1" t="s">
        <v>7</v>
      </c>
      <c r="C28" s="1" t="s">
        <v>77</v>
      </c>
      <c r="D28" s="1" t="s">
        <v>1</v>
      </c>
      <c r="E28" s="1" t="s">
        <v>111</v>
      </c>
      <c r="F28" s="1">
        <v>2</v>
      </c>
      <c r="G28" s="1">
        <v>2</v>
      </c>
      <c r="H28" s="1">
        <v>2</v>
      </c>
      <c r="I28" s="1">
        <v>2</v>
      </c>
      <c r="J28" s="1">
        <v>2</v>
      </c>
      <c r="K28" s="1">
        <v>1</v>
      </c>
      <c r="L28" s="1">
        <v>1</v>
      </c>
      <c r="M28" s="1">
        <v>1</v>
      </c>
      <c r="N28" s="1">
        <v>2</v>
      </c>
      <c r="O28" s="1">
        <v>2</v>
      </c>
      <c r="P28" s="1">
        <v>1</v>
      </c>
      <c r="Q28" s="1">
        <v>1</v>
      </c>
      <c r="R28" s="1">
        <v>1</v>
      </c>
      <c r="S28" s="1">
        <v>20</v>
      </c>
      <c r="T28" s="1">
        <v>13</v>
      </c>
      <c r="U28" s="1">
        <v>7</v>
      </c>
    </row>
    <row r="29" spans="1:21" x14ac:dyDescent="0.2">
      <c r="A29" s="1">
        <v>2024</v>
      </c>
      <c r="B29" s="1" t="s">
        <v>6</v>
      </c>
      <c r="C29" s="1" t="s">
        <v>77</v>
      </c>
      <c r="D29" s="1" t="s">
        <v>1</v>
      </c>
      <c r="E29" s="1" t="s">
        <v>103</v>
      </c>
      <c r="F29" s="1">
        <v>4</v>
      </c>
      <c r="G29" s="1">
        <v>4</v>
      </c>
      <c r="H29" s="1">
        <v>4</v>
      </c>
      <c r="I29" s="1">
        <v>4</v>
      </c>
      <c r="J29" s="1">
        <v>4</v>
      </c>
      <c r="K29" s="1">
        <v>3</v>
      </c>
      <c r="L29" s="1">
        <v>3</v>
      </c>
      <c r="M29" s="1">
        <v>4</v>
      </c>
      <c r="N29" s="1">
        <v>2</v>
      </c>
      <c r="O29" s="1">
        <v>4</v>
      </c>
      <c r="P29" s="1">
        <v>4</v>
      </c>
      <c r="Q29" s="1">
        <v>4</v>
      </c>
      <c r="R29" s="1">
        <v>4</v>
      </c>
      <c r="S29" s="1">
        <v>48</v>
      </c>
      <c r="T29" s="1">
        <v>13</v>
      </c>
      <c r="U29" s="1">
        <v>35</v>
      </c>
    </row>
    <row r="30" spans="1:21" x14ac:dyDescent="0.2">
      <c r="A30" s="1">
        <v>2024</v>
      </c>
      <c r="B30" s="1" t="s">
        <v>5</v>
      </c>
      <c r="C30" s="1" t="s">
        <v>77</v>
      </c>
      <c r="D30" s="1" t="s">
        <v>1</v>
      </c>
      <c r="E30" s="1" t="s">
        <v>111</v>
      </c>
      <c r="F30" s="1">
        <v>3</v>
      </c>
      <c r="G30" s="1">
        <v>3</v>
      </c>
      <c r="H30" s="1">
        <v>2</v>
      </c>
      <c r="I30" s="1">
        <v>3</v>
      </c>
      <c r="J30" s="1">
        <v>3</v>
      </c>
      <c r="K30" s="1">
        <v>3</v>
      </c>
      <c r="L30" s="1">
        <v>3</v>
      </c>
      <c r="M30" s="1">
        <v>2</v>
      </c>
      <c r="N30" s="1">
        <v>2</v>
      </c>
      <c r="O30" s="1">
        <v>3</v>
      </c>
      <c r="P30" s="1">
        <v>3</v>
      </c>
      <c r="Q30" s="1">
        <v>4</v>
      </c>
      <c r="R30" s="1">
        <v>1</v>
      </c>
      <c r="S30" s="1">
        <v>35</v>
      </c>
      <c r="T30" s="1">
        <v>13</v>
      </c>
      <c r="U30" s="1">
        <v>22</v>
      </c>
    </row>
    <row r="31" spans="1:21" x14ac:dyDescent="0.2">
      <c r="A31" s="1">
        <v>2024</v>
      </c>
      <c r="B31" s="1" t="s">
        <v>4</v>
      </c>
      <c r="C31" s="1" t="s">
        <v>77</v>
      </c>
      <c r="D31" s="1" t="s">
        <v>1</v>
      </c>
      <c r="E31" s="1" t="s">
        <v>111</v>
      </c>
      <c r="F31" s="1">
        <v>3</v>
      </c>
      <c r="G31" s="1">
        <v>3</v>
      </c>
      <c r="H31" s="1">
        <v>2</v>
      </c>
      <c r="I31" s="1">
        <v>3</v>
      </c>
      <c r="J31" s="1">
        <v>3</v>
      </c>
      <c r="K31" s="1">
        <v>3</v>
      </c>
      <c r="L31" s="1">
        <v>3</v>
      </c>
      <c r="M31" s="1">
        <v>3</v>
      </c>
      <c r="N31" s="1">
        <v>3</v>
      </c>
      <c r="O31" s="1">
        <v>3</v>
      </c>
      <c r="P31" s="1">
        <v>3</v>
      </c>
      <c r="Q31" s="1">
        <v>4</v>
      </c>
      <c r="R31" s="1">
        <v>4</v>
      </c>
      <c r="S31" s="1">
        <v>40</v>
      </c>
      <c r="T31" s="1">
        <v>13</v>
      </c>
      <c r="U31" s="1">
        <v>27</v>
      </c>
    </row>
    <row r="32" spans="1:21" x14ac:dyDescent="0.2">
      <c r="A32" s="1">
        <v>2024</v>
      </c>
      <c r="B32" s="1" t="s">
        <v>3</v>
      </c>
      <c r="C32" s="1" t="s">
        <v>77</v>
      </c>
      <c r="D32" s="1" t="s">
        <v>1</v>
      </c>
      <c r="E32" s="1" t="s">
        <v>103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1">
        <v>2</v>
      </c>
      <c r="O32" s="1">
        <v>2</v>
      </c>
      <c r="P32" s="1">
        <v>2</v>
      </c>
      <c r="Q32" s="1">
        <v>4</v>
      </c>
      <c r="R32" s="1">
        <v>1</v>
      </c>
      <c r="S32" s="1">
        <v>27</v>
      </c>
      <c r="T32" s="1">
        <v>13</v>
      </c>
      <c r="U32" s="1">
        <v>14</v>
      </c>
    </row>
    <row r="33" spans="1:21" ht="16" thickBot="1" x14ac:dyDescent="0.25">
      <c r="A33" s="94">
        <v>2024</v>
      </c>
      <c r="B33" s="94" t="s">
        <v>2</v>
      </c>
      <c r="C33" s="94" t="s">
        <v>77</v>
      </c>
      <c r="D33" s="94" t="s">
        <v>1</v>
      </c>
      <c r="E33" s="94" t="s">
        <v>103</v>
      </c>
      <c r="F33" s="94">
        <v>3</v>
      </c>
      <c r="G33" s="94">
        <v>3</v>
      </c>
      <c r="H33" s="94">
        <v>3</v>
      </c>
      <c r="I33" s="94">
        <v>3</v>
      </c>
      <c r="J33" s="94">
        <v>3</v>
      </c>
      <c r="K33" s="94">
        <v>3</v>
      </c>
      <c r="L33" s="94">
        <v>3</v>
      </c>
      <c r="M33" s="94">
        <v>3</v>
      </c>
      <c r="N33" s="94">
        <v>2</v>
      </c>
      <c r="O33" s="94">
        <v>3</v>
      </c>
      <c r="P33" s="94">
        <v>3</v>
      </c>
      <c r="Q33" s="94">
        <v>3</v>
      </c>
      <c r="R33" s="94">
        <v>2</v>
      </c>
      <c r="S33" s="94">
        <v>37</v>
      </c>
      <c r="T33" s="94">
        <v>13</v>
      </c>
      <c r="U33" s="94">
        <v>24</v>
      </c>
    </row>
    <row r="34" spans="1:21" x14ac:dyDescent="0.2">
      <c r="A34" s="1">
        <v>2025</v>
      </c>
      <c r="B34" s="1">
        <v>27</v>
      </c>
      <c r="C34" s="1" t="s">
        <v>77</v>
      </c>
      <c r="D34" s="1" t="s">
        <v>1</v>
      </c>
      <c r="E34" s="1" t="s">
        <v>103</v>
      </c>
      <c r="F34" s="1">
        <v>1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>
        <v>1</v>
      </c>
      <c r="M34" s="1">
        <v>2</v>
      </c>
      <c r="N34" s="1">
        <v>2</v>
      </c>
      <c r="O34" s="1">
        <v>3</v>
      </c>
      <c r="P34" s="1">
        <v>2</v>
      </c>
      <c r="Q34" s="1">
        <v>0</v>
      </c>
      <c r="R34" s="1">
        <v>0</v>
      </c>
      <c r="S34" s="1">
        <v>21</v>
      </c>
      <c r="T34" s="1">
        <v>13</v>
      </c>
      <c r="U34" s="1">
        <v>8</v>
      </c>
    </row>
    <row r="35" spans="1:21" x14ac:dyDescent="0.2">
      <c r="A35" s="1">
        <v>2025</v>
      </c>
      <c r="B35" s="1">
        <v>28</v>
      </c>
      <c r="C35" s="1" t="s">
        <v>77</v>
      </c>
      <c r="D35" s="1" t="s">
        <v>1</v>
      </c>
      <c r="E35" s="1" t="s">
        <v>103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2</v>
      </c>
      <c r="M35" s="1">
        <v>1</v>
      </c>
      <c r="N35" s="1">
        <v>2</v>
      </c>
      <c r="O35" s="1">
        <v>1</v>
      </c>
      <c r="P35" s="1">
        <v>1</v>
      </c>
      <c r="Q35" s="1">
        <v>0</v>
      </c>
      <c r="R35" s="1">
        <v>0</v>
      </c>
      <c r="S35" s="1">
        <v>13</v>
      </c>
      <c r="T35" s="1">
        <v>13</v>
      </c>
      <c r="U35" s="1">
        <v>0</v>
      </c>
    </row>
    <row r="36" spans="1:21" ht="16" x14ac:dyDescent="0.2">
      <c r="A36">
        <v>2025</v>
      </c>
      <c r="B36">
        <v>30</v>
      </c>
      <c r="C36" t="s">
        <v>77</v>
      </c>
      <c r="D36" t="s">
        <v>1</v>
      </c>
      <c r="E36" s="1" t="s">
        <v>103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3</v>
      </c>
      <c r="Q36">
        <v>3</v>
      </c>
      <c r="R36">
        <v>2</v>
      </c>
      <c r="S36">
        <f>SUM(F36:R36)</f>
        <v>28</v>
      </c>
      <c r="T36">
        <f>COUNT(F36:R36)</f>
        <v>13</v>
      </c>
      <c r="U36">
        <f>S36-T36</f>
        <v>15</v>
      </c>
    </row>
    <row r="37" spans="1:21" x14ac:dyDescent="0.2">
      <c r="A37" s="1">
        <v>2025</v>
      </c>
      <c r="B37" s="1">
        <v>44</v>
      </c>
      <c r="C37" s="1" t="s">
        <v>77</v>
      </c>
      <c r="D37" s="1" t="s">
        <v>1</v>
      </c>
      <c r="E37" s="1" t="s">
        <v>103</v>
      </c>
      <c r="F37" s="1">
        <v>3</v>
      </c>
      <c r="G37" s="1">
        <v>3</v>
      </c>
      <c r="H37" s="1">
        <v>3</v>
      </c>
      <c r="I37" s="1">
        <v>3</v>
      </c>
      <c r="J37" s="1">
        <v>4</v>
      </c>
      <c r="K37" s="1">
        <v>3</v>
      </c>
      <c r="L37" s="1">
        <v>3</v>
      </c>
      <c r="M37" s="1">
        <v>4</v>
      </c>
      <c r="N37" s="1">
        <v>2</v>
      </c>
      <c r="O37" s="1">
        <v>3</v>
      </c>
      <c r="P37" s="1">
        <v>3</v>
      </c>
      <c r="Q37" s="1">
        <v>4</v>
      </c>
      <c r="R37" s="1">
        <v>3</v>
      </c>
      <c r="S37" s="1">
        <v>41</v>
      </c>
      <c r="T37" s="1">
        <v>13</v>
      </c>
      <c r="U37" s="1">
        <v>28</v>
      </c>
    </row>
    <row r="38" spans="1:21" x14ac:dyDescent="0.2">
      <c r="A38" s="1">
        <v>2025</v>
      </c>
      <c r="B38" s="1">
        <v>46</v>
      </c>
      <c r="C38" s="1" t="s">
        <v>77</v>
      </c>
      <c r="D38" s="1" t="s">
        <v>1</v>
      </c>
      <c r="E38" s="1" t="s">
        <v>111</v>
      </c>
      <c r="F38" s="1">
        <v>3</v>
      </c>
      <c r="G38" s="1">
        <v>3</v>
      </c>
      <c r="H38" s="1">
        <v>3</v>
      </c>
      <c r="I38" s="1">
        <v>2</v>
      </c>
      <c r="J38" s="1">
        <v>3</v>
      </c>
      <c r="K38" s="1">
        <v>3</v>
      </c>
      <c r="L38" s="1">
        <v>3</v>
      </c>
      <c r="M38" s="1">
        <v>2</v>
      </c>
      <c r="N38" s="1">
        <v>2</v>
      </c>
      <c r="O38" s="1">
        <v>2</v>
      </c>
      <c r="P38" s="1">
        <v>2</v>
      </c>
      <c r="Q38" s="1">
        <v>4</v>
      </c>
      <c r="R38" s="1">
        <v>1</v>
      </c>
      <c r="S38" s="1">
        <v>33</v>
      </c>
      <c r="T38" s="1">
        <v>13</v>
      </c>
      <c r="U38" s="1">
        <v>20</v>
      </c>
    </row>
    <row r="39" spans="1:21" ht="16" x14ac:dyDescent="0.2">
      <c r="A39">
        <v>2025</v>
      </c>
      <c r="B39">
        <v>48</v>
      </c>
      <c r="C39" t="s">
        <v>77</v>
      </c>
      <c r="D39" t="s">
        <v>1</v>
      </c>
      <c r="E39" s="1" t="s">
        <v>103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3</v>
      </c>
      <c r="P39">
        <v>2</v>
      </c>
      <c r="Q39">
        <v>0</v>
      </c>
      <c r="R39">
        <v>0</v>
      </c>
      <c r="S39">
        <f>SUM(F39:R39)</f>
        <v>23</v>
      </c>
      <c r="T39">
        <f>COUNT(F39:R39)</f>
        <v>13</v>
      </c>
      <c r="U39">
        <f>S39-T39</f>
        <v>10</v>
      </c>
    </row>
    <row r="40" spans="1:21" x14ac:dyDescent="0.2">
      <c r="A40" s="1">
        <v>2025</v>
      </c>
      <c r="B40" s="1">
        <v>61</v>
      </c>
      <c r="C40" s="1" t="s">
        <v>77</v>
      </c>
      <c r="D40" s="1" t="s">
        <v>1</v>
      </c>
      <c r="E40" s="1" t="s">
        <v>103</v>
      </c>
      <c r="F40" s="1">
        <v>2</v>
      </c>
      <c r="G40" s="1">
        <v>2</v>
      </c>
      <c r="H40" s="1">
        <v>2</v>
      </c>
      <c r="I40" s="1">
        <v>3</v>
      </c>
      <c r="J40" s="1">
        <v>3</v>
      </c>
      <c r="K40" s="1">
        <v>3</v>
      </c>
      <c r="L40" s="1">
        <v>2</v>
      </c>
      <c r="M40" s="1">
        <v>3</v>
      </c>
      <c r="N40" s="1">
        <v>3</v>
      </c>
      <c r="O40" s="1">
        <v>3</v>
      </c>
      <c r="P40" s="1">
        <v>3</v>
      </c>
      <c r="Q40" s="1">
        <v>0</v>
      </c>
      <c r="R40" s="1">
        <v>1</v>
      </c>
      <c r="S40" s="1">
        <v>30</v>
      </c>
      <c r="T40" s="1">
        <v>13</v>
      </c>
      <c r="U40" s="1">
        <v>17</v>
      </c>
    </row>
    <row r="41" spans="1:21" x14ac:dyDescent="0.2">
      <c r="A41" s="1">
        <v>2025</v>
      </c>
      <c r="B41" s="1">
        <v>62</v>
      </c>
      <c r="C41" s="1" t="s">
        <v>77</v>
      </c>
      <c r="D41" s="1" t="s">
        <v>1</v>
      </c>
      <c r="E41" s="1" t="s">
        <v>103</v>
      </c>
      <c r="F41" s="1">
        <v>2</v>
      </c>
      <c r="G41" s="1">
        <v>2</v>
      </c>
      <c r="H41" s="1">
        <v>2</v>
      </c>
      <c r="I41" s="1">
        <v>2</v>
      </c>
      <c r="J41" s="1">
        <v>2</v>
      </c>
      <c r="K41" s="1">
        <v>2</v>
      </c>
      <c r="L41" s="1">
        <v>2</v>
      </c>
      <c r="M41" s="1">
        <v>2</v>
      </c>
      <c r="N41" s="1">
        <v>2</v>
      </c>
      <c r="O41" s="1">
        <v>2</v>
      </c>
      <c r="P41" s="1">
        <v>2</v>
      </c>
      <c r="Q41" s="1">
        <v>0</v>
      </c>
      <c r="R41" s="1">
        <v>0</v>
      </c>
      <c r="S41" s="1">
        <v>22</v>
      </c>
      <c r="T41" s="1">
        <v>13</v>
      </c>
      <c r="U41" s="1">
        <v>9</v>
      </c>
    </row>
    <row r="42" spans="1:21" x14ac:dyDescent="0.2">
      <c r="A42" s="1">
        <v>2025</v>
      </c>
      <c r="B42" s="1">
        <v>63</v>
      </c>
      <c r="C42" s="1" t="s">
        <v>77</v>
      </c>
      <c r="D42" s="1" t="s">
        <v>1</v>
      </c>
      <c r="E42" s="1" t="s">
        <v>111</v>
      </c>
      <c r="F42" s="1">
        <v>2</v>
      </c>
      <c r="G42" s="1">
        <v>3</v>
      </c>
      <c r="H42" s="1">
        <v>3</v>
      </c>
      <c r="I42" s="1">
        <v>2</v>
      </c>
      <c r="J42" s="1">
        <v>3</v>
      </c>
      <c r="K42" s="1">
        <v>3</v>
      </c>
      <c r="L42" s="1">
        <v>2</v>
      </c>
      <c r="M42" s="1">
        <v>2</v>
      </c>
      <c r="N42" s="1">
        <v>2</v>
      </c>
      <c r="O42" s="1">
        <v>2</v>
      </c>
      <c r="P42" s="1">
        <v>2</v>
      </c>
      <c r="Q42" s="1">
        <v>2</v>
      </c>
      <c r="R42" s="1">
        <v>1</v>
      </c>
      <c r="S42" s="1">
        <v>29</v>
      </c>
      <c r="T42" s="1">
        <v>13</v>
      </c>
      <c r="U42" s="1">
        <v>16</v>
      </c>
    </row>
    <row r="43" spans="1:21" ht="16" x14ac:dyDescent="0.2">
      <c r="A43">
        <v>2025</v>
      </c>
      <c r="B43">
        <v>71</v>
      </c>
      <c r="C43" t="s">
        <v>77</v>
      </c>
      <c r="D43" t="s">
        <v>1</v>
      </c>
      <c r="E43" s="1" t="s">
        <v>103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2</v>
      </c>
      <c r="N43">
        <v>1</v>
      </c>
      <c r="O43">
        <v>1</v>
      </c>
      <c r="P43">
        <v>2</v>
      </c>
      <c r="Q43">
        <v>1</v>
      </c>
      <c r="R43">
        <v>0</v>
      </c>
      <c r="S43">
        <f>SUM(F43:R43)</f>
        <v>14</v>
      </c>
      <c r="T43">
        <f>COUNT(F43:R43)</f>
        <v>13</v>
      </c>
      <c r="U43">
        <f>S43-T43</f>
        <v>1</v>
      </c>
    </row>
    <row r="44" spans="1:21" x14ac:dyDescent="0.2">
      <c r="A44" s="1">
        <v>2025</v>
      </c>
      <c r="B44" s="1">
        <v>73</v>
      </c>
      <c r="C44" s="1" t="s">
        <v>77</v>
      </c>
      <c r="D44" s="1" t="s">
        <v>1</v>
      </c>
      <c r="E44" s="1" t="s">
        <v>111</v>
      </c>
      <c r="F44" s="1">
        <v>4</v>
      </c>
      <c r="G44" s="1">
        <v>3</v>
      </c>
      <c r="H44" s="1">
        <v>2</v>
      </c>
      <c r="I44" s="1">
        <v>4</v>
      </c>
      <c r="J44" s="1">
        <v>4</v>
      </c>
      <c r="K44" s="1">
        <v>3</v>
      </c>
      <c r="L44" s="1">
        <v>3</v>
      </c>
      <c r="M44" s="1">
        <v>3</v>
      </c>
      <c r="N44" s="1">
        <v>3</v>
      </c>
      <c r="O44" s="1">
        <v>3</v>
      </c>
      <c r="P44" s="1">
        <v>2</v>
      </c>
      <c r="Q44" s="1">
        <v>3</v>
      </c>
      <c r="R44" s="1">
        <v>2</v>
      </c>
      <c r="S44" s="1">
        <v>39</v>
      </c>
      <c r="T44" s="1">
        <v>13</v>
      </c>
      <c r="U44" s="1">
        <v>26</v>
      </c>
    </row>
    <row r="45" spans="1:21" x14ac:dyDescent="0.2">
      <c r="A45" s="1">
        <v>2025</v>
      </c>
      <c r="B45" s="1">
        <v>74</v>
      </c>
      <c r="C45" s="1" t="s">
        <v>77</v>
      </c>
      <c r="D45" s="1" t="s">
        <v>1</v>
      </c>
      <c r="E45" s="1" t="s">
        <v>103</v>
      </c>
      <c r="F45" s="1">
        <v>3</v>
      </c>
      <c r="G45" s="1">
        <v>3</v>
      </c>
      <c r="H45" s="1">
        <v>2</v>
      </c>
      <c r="I45" s="1">
        <v>2</v>
      </c>
      <c r="J45" s="1">
        <v>3</v>
      </c>
      <c r="K45" s="1">
        <v>2</v>
      </c>
      <c r="L45" s="1">
        <v>3</v>
      </c>
      <c r="M45" s="1">
        <v>2</v>
      </c>
      <c r="N45" s="1">
        <v>2</v>
      </c>
      <c r="O45" s="1">
        <v>3</v>
      </c>
      <c r="P45" s="1">
        <v>3</v>
      </c>
      <c r="Q45" s="1">
        <v>4</v>
      </c>
      <c r="R45" s="1">
        <v>3</v>
      </c>
      <c r="S45" s="1">
        <v>35</v>
      </c>
      <c r="T45" s="1">
        <v>13</v>
      </c>
      <c r="U45" s="1">
        <v>22</v>
      </c>
    </row>
    <row r="46" spans="1:21" x14ac:dyDescent="0.2">
      <c r="A46" s="1">
        <v>2025</v>
      </c>
      <c r="B46" s="1">
        <v>75</v>
      </c>
      <c r="C46" s="1" t="s">
        <v>77</v>
      </c>
      <c r="D46" s="1" t="s">
        <v>1</v>
      </c>
      <c r="E46" s="1" t="s">
        <v>103</v>
      </c>
      <c r="F46" s="1">
        <v>3</v>
      </c>
      <c r="G46" s="1">
        <v>3</v>
      </c>
      <c r="H46" s="1">
        <v>3</v>
      </c>
      <c r="I46" s="1">
        <v>2</v>
      </c>
      <c r="J46" s="1">
        <v>3</v>
      </c>
      <c r="K46" s="1">
        <v>3</v>
      </c>
      <c r="L46" s="1">
        <v>3</v>
      </c>
      <c r="M46" s="1">
        <v>2</v>
      </c>
      <c r="N46" s="1">
        <v>2</v>
      </c>
      <c r="O46" s="1">
        <v>2</v>
      </c>
      <c r="P46" s="1">
        <v>2</v>
      </c>
      <c r="Q46" s="1">
        <v>4</v>
      </c>
      <c r="R46" s="1">
        <v>1</v>
      </c>
      <c r="S46" s="1">
        <v>33</v>
      </c>
      <c r="T46" s="1">
        <v>13</v>
      </c>
      <c r="U46" s="1">
        <v>20</v>
      </c>
    </row>
    <row r="47" spans="1:21" x14ac:dyDescent="0.2">
      <c r="A47" s="1">
        <v>2025</v>
      </c>
      <c r="B47" s="1">
        <v>76</v>
      </c>
      <c r="C47" s="1" t="s">
        <v>77</v>
      </c>
      <c r="D47" s="1" t="s">
        <v>1</v>
      </c>
      <c r="E47" s="1" t="s">
        <v>103</v>
      </c>
      <c r="F47" s="1">
        <v>2</v>
      </c>
      <c r="G47" s="1">
        <v>3</v>
      </c>
      <c r="H47" s="1">
        <v>2</v>
      </c>
      <c r="I47" s="1">
        <v>2</v>
      </c>
      <c r="J47" s="1">
        <v>2</v>
      </c>
      <c r="K47" s="1">
        <v>3</v>
      </c>
      <c r="L47" s="1">
        <v>3</v>
      </c>
      <c r="M47" s="1">
        <v>2</v>
      </c>
      <c r="N47" s="1">
        <v>2</v>
      </c>
      <c r="O47" s="1">
        <v>2</v>
      </c>
      <c r="P47" s="1">
        <v>2</v>
      </c>
      <c r="Q47" s="1">
        <v>2</v>
      </c>
      <c r="R47" s="1">
        <v>2</v>
      </c>
      <c r="S47" s="1">
        <v>29</v>
      </c>
      <c r="T47" s="1">
        <v>13</v>
      </c>
      <c r="U47" s="1">
        <v>16</v>
      </c>
    </row>
    <row r="48" spans="1:21" x14ac:dyDescent="0.2">
      <c r="A48" s="1">
        <v>2025</v>
      </c>
      <c r="B48" s="1">
        <v>78</v>
      </c>
      <c r="C48" s="1" t="s">
        <v>77</v>
      </c>
      <c r="D48" s="1" t="s">
        <v>1</v>
      </c>
      <c r="E48" s="1" t="s">
        <v>103</v>
      </c>
      <c r="F48" s="1">
        <v>2</v>
      </c>
      <c r="G48" s="1">
        <v>2</v>
      </c>
      <c r="H48" s="1">
        <v>2</v>
      </c>
      <c r="I48" s="1">
        <v>2</v>
      </c>
      <c r="J48" s="1">
        <v>2</v>
      </c>
      <c r="K48" s="1">
        <v>3</v>
      </c>
      <c r="L48" s="1">
        <v>3</v>
      </c>
      <c r="M48" s="1">
        <v>2</v>
      </c>
      <c r="N48" s="1">
        <v>2</v>
      </c>
      <c r="O48" s="1">
        <v>2</v>
      </c>
      <c r="P48" s="1">
        <v>3</v>
      </c>
      <c r="Q48" s="1">
        <v>0</v>
      </c>
      <c r="R48" s="1">
        <v>0</v>
      </c>
      <c r="S48" s="1">
        <v>25</v>
      </c>
      <c r="T48" s="1">
        <v>13</v>
      </c>
      <c r="U48" s="1">
        <v>12</v>
      </c>
    </row>
    <row r="49" spans="1:21" x14ac:dyDescent="0.2">
      <c r="A49" s="1">
        <v>2025</v>
      </c>
      <c r="B49" s="1">
        <v>79</v>
      </c>
      <c r="C49" s="1" t="s">
        <v>77</v>
      </c>
      <c r="D49" s="1" t="s">
        <v>1</v>
      </c>
      <c r="E49" s="1" t="s">
        <v>103</v>
      </c>
      <c r="F49" s="1">
        <v>3</v>
      </c>
      <c r="G49" s="1">
        <v>3</v>
      </c>
      <c r="H49" s="1">
        <v>3</v>
      </c>
      <c r="I49" s="1">
        <v>3</v>
      </c>
      <c r="J49" s="1">
        <v>3</v>
      </c>
      <c r="K49" s="1">
        <v>2</v>
      </c>
      <c r="L49" s="1">
        <v>3</v>
      </c>
      <c r="M49" s="1">
        <v>2</v>
      </c>
      <c r="N49" s="1">
        <v>2</v>
      </c>
      <c r="O49" s="1">
        <v>2</v>
      </c>
      <c r="P49" s="1">
        <v>3</v>
      </c>
      <c r="Q49" s="1">
        <v>2</v>
      </c>
      <c r="R49" s="1">
        <v>3</v>
      </c>
      <c r="S49" s="1">
        <v>34</v>
      </c>
      <c r="T49" s="1">
        <v>13</v>
      </c>
      <c r="U49" s="1">
        <v>21</v>
      </c>
    </row>
    <row r="50" spans="1:21" x14ac:dyDescent="0.2">
      <c r="A50" s="1">
        <v>2025</v>
      </c>
      <c r="B50" s="1">
        <v>96</v>
      </c>
      <c r="C50" s="1" t="s">
        <v>77</v>
      </c>
      <c r="D50" s="1" t="s">
        <v>1</v>
      </c>
      <c r="E50" s="1" t="s">
        <v>103</v>
      </c>
      <c r="F50" s="1">
        <v>3</v>
      </c>
      <c r="G50" s="1">
        <v>3</v>
      </c>
      <c r="H50" s="1">
        <v>3</v>
      </c>
      <c r="I50" s="1">
        <v>3</v>
      </c>
      <c r="J50" s="1">
        <v>3</v>
      </c>
      <c r="K50" s="1">
        <v>3</v>
      </c>
      <c r="L50" s="1">
        <v>3</v>
      </c>
      <c r="M50" s="1">
        <v>3</v>
      </c>
      <c r="N50" s="1">
        <v>2</v>
      </c>
      <c r="O50" s="1">
        <v>3</v>
      </c>
      <c r="P50" s="1">
        <v>3</v>
      </c>
      <c r="Q50" s="1">
        <v>4</v>
      </c>
      <c r="R50" s="1">
        <v>2</v>
      </c>
      <c r="S50" s="1">
        <v>38</v>
      </c>
      <c r="T50" s="1">
        <v>13</v>
      </c>
      <c r="U50" s="1">
        <v>25</v>
      </c>
    </row>
    <row r="51" spans="1:21" ht="16" thickBot="1" x14ac:dyDescent="0.25">
      <c r="A51" s="93">
        <v>2025</v>
      </c>
      <c r="B51" s="93">
        <v>97</v>
      </c>
      <c r="C51" s="93" t="s">
        <v>77</v>
      </c>
      <c r="D51" s="93" t="s">
        <v>1</v>
      </c>
      <c r="E51" s="93" t="s">
        <v>103</v>
      </c>
      <c r="F51" s="93">
        <v>3</v>
      </c>
      <c r="G51" s="93">
        <v>2</v>
      </c>
      <c r="H51" s="93">
        <v>3</v>
      </c>
      <c r="I51" s="93">
        <v>3</v>
      </c>
      <c r="J51" s="93">
        <v>3</v>
      </c>
      <c r="K51" s="93">
        <v>3</v>
      </c>
      <c r="L51" s="93">
        <v>3</v>
      </c>
      <c r="M51" s="93">
        <v>3</v>
      </c>
      <c r="N51" s="93">
        <v>3</v>
      </c>
      <c r="O51" s="93">
        <v>3</v>
      </c>
      <c r="P51" s="93">
        <v>3</v>
      </c>
      <c r="Q51" s="93">
        <v>2</v>
      </c>
      <c r="R51" s="93">
        <v>4</v>
      </c>
      <c r="S51" s="93">
        <v>38</v>
      </c>
      <c r="T51" s="93">
        <v>13</v>
      </c>
      <c r="U51" s="93">
        <v>25</v>
      </c>
    </row>
    <row r="52" spans="1:21" x14ac:dyDescent="0.2">
      <c r="A52" s="1">
        <v>2024</v>
      </c>
      <c r="B52" s="1" t="s">
        <v>38</v>
      </c>
      <c r="C52" s="1" t="s">
        <v>77</v>
      </c>
      <c r="D52" s="1" t="s">
        <v>0</v>
      </c>
      <c r="E52" s="1" t="s">
        <v>111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3</v>
      </c>
      <c r="L52" s="1">
        <v>2</v>
      </c>
      <c r="M52" s="1">
        <v>2</v>
      </c>
      <c r="N52" s="1">
        <v>2</v>
      </c>
      <c r="O52" s="1">
        <v>3</v>
      </c>
      <c r="P52" s="1">
        <v>3</v>
      </c>
      <c r="S52" s="1">
        <v>25</v>
      </c>
      <c r="T52" s="1">
        <v>11</v>
      </c>
      <c r="U52" s="1">
        <v>14</v>
      </c>
    </row>
    <row r="53" spans="1:21" x14ac:dyDescent="0.2">
      <c r="A53" s="1">
        <v>2024</v>
      </c>
      <c r="B53" s="1" t="s">
        <v>37</v>
      </c>
      <c r="C53" s="1" t="s">
        <v>77</v>
      </c>
      <c r="D53" s="1" t="s">
        <v>0</v>
      </c>
      <c r="E53" s="1" t="s">
        <v>103</v>
      </c>
      <c r="F53" s="1">
        <v>2</v>
      </c>
      <c r="G53" s="1">
        <v>2</v>
      </c>
      <c r="H53" s="1">
        <v>3</v>
      </c>
      <c r="I53" s="1">
        <v>2</v>
      </c>
      <c r="J53" s="1">
        <v>2</v>
      </c>
      <c r="K53" s="1">
        <v>1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1</v>
      </c>
      <c r="R53" s="1">
        <v>1</v>
      </c>
      <c r="S53" s="1">
        <v>24</v>
      </c>
      <c r="T53" s="1">
        <v>13</v>
      </c>
      <c r="U53" s="1">
        <v>11</v>
      </c>
    </row>
    <row r="54" spans="1:21" x14ac:dyDescent="0.2">
      <c r="A54" s="1">
        <v>2024</v>
      </c>
      <c r="B54" s="1" t="s">
        <v>36</v>
      </c>
      <c r="C54" s="1" t="s">
        <v>77</v>
      </c>
      <c r="D54" s="1" t="s">
        <v>0</v>
      </c>
      <c r="E54" s="1" t="s">
        <v>111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1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 t="s">
        <v>78</v>
      </c>
      <c r="R54" s="1" t="s">
        <v>78</v>
      </c>
      <c r="S54" s="1">
        <v>21</v>
      </c>
      <c r="T54" s="1">
        <v>11</v>
      </c>
      <c r="U54" s="1">
        <v>10</v>
      </c>
    </row>
    <row r="55" spans="1:21" x14ac:dyDescent="0.2">
      <c r="A55" s="1">
        <v>2024</v>
      </c>
      <c r="B55" s="1" t="s">
        <v>35</v>
      </c>
      <c r="C55" s="1" t="s">
        <v>77</v>
      </c>
      <c r="D55" s="1" t="s">
        <v>0</v>
      </c>
      <c r="E55" s="1" t="s">
        <v>111</v>
      </c>
      <c r="F55" s="1">
        <v>3</v>
      </c>
      <c r="G55" s="1">
        <v>3</v>
      </c>
      <c r="H55" s="1">
        <v>2</v>
      </c>
      <c r="I55" s="1">
        <v>2</v>
      </c>
      <c r="J55" s="1">
        <v>3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29</v>
      </c>
      <c r="T55" s="1">
        <v>13</v>
      </c>
      <c r="U55" s="1">
        <v>16</v>
      </c>
    </row>
    <row r="56" spans="1:21" x14ac:dyDescent="0.2">
      <c r="A56" s="1">
        <v>2024</v>
      </c>
      <c r="B56" s="1" t="s">
        <v>34</v>
      </c>
      <c r="C56" s="1" t="s">
        <v>77</v>
      </c>
      <c r="D56" s="1" t="s">
        <v>0</v>
      </c>
      <c r="E56" s="1" t="s">
        <v>111</v>
      </c>
      <c r="F56" s="1">
        <v>1</v>
      </c>
      <c r="G56" s="1">
        <v>1</v>
      </c>
      <c r="H56" s="1">
        <v>1</v>
      </c>
      <c r="I56" s="1">
        <v>2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 t="s">
        <v>78</v>
      </c>
      <c r="R56" s="1" t="s">
        <v>78</v>
      </c>
      <c r="S56" s="1">
        <v>12</v>
      </c>
      <c r="T56" s="1">
        <v>11</v>
      </c>
      <c r="U56" s="1">
        <v>1</v>
      </c>
    </row>
    <row r="57" spans="1:21" x14ac:dyDescent="0.2">
      <c r="A57" s="1">
        <v>2024</v>
      </c>
      <c r="B57" s="1" t="s">
        <v>33</v>
      </c>
      <c r="C57" s="1" t="s">
        <v>77</v>
      </c>
      <c r="D57" s="1" t="s">
        <v>0</v>
      </c>
      <c r="E57" s="1" t="s">
        <v>103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1</v>
      </c>
      <c r="R57" s="1" t="s">
        <v>78</v>
      </c>
      <c r="S57" s="1">
        <v>23</v>
      </c>
      <c r="T57" s="1">
        <v>12</v>
      </c>
      <c r="U57" s="1">
        <v>11</v>
      </c>
    </row>
    <row r="58" spans="1:21" x14ac:dyDescent="0.2">
      <c r="A58" s="1">
        <v>2024</v>
      </c>
      <c r="B58" s="1" t="s">
        <v>32</v>
      </c>
      <c r="C58" s="1" t="s">
        <v>77</v>
      </c>
      <c r="D58" s="1" t="s">
        <v>0</v>
      </c>
      <c r="E58" s="1" t="s">
        <v>103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3</v>
      </c>
      <c r="P58" s="1">
        <v>2</v>
      </c>
      <c r="Q58" s="1" t="s">
        <v>78</v>
      </c>
      <c r="R58" s="1">
        <v>1</v>
      </c>
      <c r="S58" s="1">
        <v>24</v>
      </c>
      <c r="T58" s="1">
        <v>12</v>
      </c>
      <c r="U58" s="1">
        <v>12</v>
      </c>
    </row>
    <row r="59" spans="1:21" x14ac:dyDescent="0.2">
      <c r="A59" s="1">
        <v>2024</v>
      </c>
      <c r="B59" s="1" t="s">
        <v>31</v>
      </c>
      <c r="C59" s="1" t="s">
        <v>77</v>
      </c>
      <c r="D59" s="1" t="s">
        <v>0</v>
      </c>
      <c r="E59" s="1" t="s">
        <v>103</v>
      </c>
      <c r="F59" s="1">
        <v>3</v>
      </c>
      <c r="G59" s="1">
        <v>3</v>
      </c>
      <c r="H59" s="1">
        <v>3</v>
      </c>
      <c r="I59" s="1">
        <v>1</v>
      </c>
      <c r="J59" s="1">
        <v>2</v>
      </c>
      <c r="K59" s="1">
        <v>1</v>
      </c>
      <c r="L59" s="1">
        <v>1</v>
      </c>
      <c r="M59" s="1">
        <v>3</v>
      </c>
      <c r="N59" s="1">
        <v>3</v>
      </c>
      <c r="O59" s="1">
        <v>3</v>
      </c>
      <c r="P59" s="1">
        <v>3</v>
      </c>
      <c r="Q59" s="1">
        <v>4</v>
      </c>
      <c r="R59" s="1">
        <v>1</v>
      </c>
      <c r="S59" s="1">
        <v>31</v>
      </c>
      <c r="T59" s="1">
        <v>13</v>
      </c>
      <c r="U59" s="1">
        <v>18</v>
      </c>
    </row>
    <row r="60" spans="1:21" x14ac:dyDescent="0.2">
      <c r="A60" s="1">
        <v>2024</v>
      </c>
      <c r="B60" s="1" t="s">
        <v>30</v>
      </c>
      <c r="C60" s="1" t="s">
        <v>77</v>
      </c>
      <c r="D60" s="1" t="s">
        <v>0</v>
      </c>
      <c r="E60" s="1" t="s">
        <v>111</v>
      </c>
      <c r="F60" s="1">
        <v>3</v>
      </c>
      <c r="G60" s="1">
        <v>3</v>
      </c>
      <c r="H60" s="1">
        <v>2</v>
      </c>
      <c r="I60" s="1">
        <v>3</v>
      </c>
      <c r="J60" s="1">
        <v>3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28">
        <v>2</v>
      </c>
      <c r="S60" s="28">
        <v>30</v>
      </c>
      <c r="T60" s="1">
        <v>13</v>
      </c>
      <c r="U60" s="1">
        <v>17</v>
      </c>
    </row>
    <row r="61" spans="1:21" x14ac:dyDescent="0.2">
      <c r="A61" s="1">
        <v>2024</v>
      </c>
      <c r="B61" s="1" t="s">
        <v>29</v>
      </c>
      <c r="C61" s="1" t="s">
        <v>77</v>
      </c>
      <c r="D61" s="1" t="s">
        <v>0</v>
      </c>
      <c r="E61" s="1" t="s">
        <v>111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 t="s">
        <v>78</v>
      </c>
      <c r="R61" s="1" t="s">
        <v>78</v>
      </c>
      <c r="S61" s="1">
        <v>22</v>
      </c>
      <c r="T61" s="1">
        <v>11</v>
      </c>
      <c r="U61" s="1">
        <v>11</v>
      </c>
    </row>
    <row r="62" spans="1:21" x14ac:dyDescent="0.2">
      <c r="A62" s="1">
        <v>2024</v>
      </c>
      <c r="B62" s="1" t="s">
        <v>28</v>
      </c>
      <c r="C62" s="1" t="s">
        <v>77</v>
      </c>
      <c r="D62" s="1" t="s">
        <v>0</v>
      </c>
      <c r="E62" s="1" t="s">
        <v>111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1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 t="s">
        <v>78</v>
      </c>
      <c r="R62" s="28" t="s">
        <v>78</v>
      </c>
      <c r="S62" s="28">
        <v>21</v>
      </c>
      <c r="T62" s="1">
        <v>11</v>
      </c>
      <c r="U62" s="1">
        <v>10</v>
      </c>
    </row>
    <row r="63" spans="1:21" x14ac:dyDescent="0.2">
      <c r="A63" s="1">
        <v>2024</v>
      </c>
      <c r="B63" s="1" t="s">
        <v>27</v>
      </c>
      <c r="C63" s="1" t="s">
        <v>77</v>
      </c>
      <c r="D63" s="1" t="s">
        <v>0</v>
      </c>
      <c r="E63" s="1" t="s">
        <v>103</v>
      </c>
      <c r="F63" s="35">
        <v>2</v>
      </c>
      <c r="G63" s="1">
        <v>2</v>
      </c>
      <c r="H63" s="1">
        <v>2</v>
      </c>
      <c r="I63" s="1">
        <v>2</v>
      </c>
      <c r="J63" s="1">
        <v>2</v>
      </c>
      <c r="K63" s="1">
        <v>1</v>
      </c>
      <c r="L63" s="1">
        <v>1</v>
      </c>
      <c r="M63" s="1">
        <v>2</v>
      </c>
      <c r="N63" s="1">
        <v>2</v>
      </c>
      <c r="O63" s="1">
        <v>2</v>
      </c>
      <c r="P63" s="1">
        <v>2</v>
      </c>
      <c r="Q63" s="1" t="s">
        <v>78</v>
      </c>
      <c r="R63" s="1" t="s">
        <v>78</v>
      </c>
      <c r="S63" s="28">
        <v>20</v>
      </c>
      <c r="T63" s="1">
        <v>11</v>
      </c>
      <c r="U63" s="1">
        <v>9</v>
      </c>
    </row>
    <row r="64" spans="1:21" x14ac:dyDescent="0.2">
      <c r="A64" s="1">
        <v>2024</v>
      </c>
      <c r="B64" s="1" t="s">
        <v>26</v>
      </c>
      <c r="C64" s="1" t="s">
        <v>77</v>
      </c>
      <c r="D64" s="1" t="s">
        <v>0</v>
      </c>
      <c r="E64" s="1" t="s">
        <v>111</v>
      </c>
      <c r="F64" s="1">
        <v>3</v>
      </c>
      <c r="G64" s="1">
        <v>3</v>
      </c>
      <c r="H64" s="1">
        <v>2</v>
      </c>
      <c r="I64" s="1">
        <v>3</v>
      </c>
      <c r="J64" s="1">
        <v>3</v>
      </c>
      <c r="K64" s="1">
        <v>3</v>
      </c>
      <c r="L64" s="1">
        <v>3</v>
      </c>
      <c r="M64" s="1">
        <v>3</v>
      </c>
      <c r="N64" s="1">
        <v>2</v>
      </c>
      <c r="O64" s="1">
        <v>2</v>
      </c>
      <c r="P64" s="1">
        <v>2</v>
      </c>
      <c r="Q64" s="1">
        <v>4</v>
      </c>
      <c r="R64" s="28">
        <v>1</v>
      </c>
      <c r="S64" s="1">
        <v>34</v>
      </c>
      <c r="T64" s="1">
        <v>13</v>
      </c>
      <c r="U64" s="1">
        <v>21</v>
      </c>
    </row>
    <row r="65" spans="1:21" x14ac:dyDescent="0.2">
      <c r="A65" s="1">
        <v>2024</v>
      </c>
      <c r="B65" s="1" t="s">
        <v>23</v>
      </c>
      <c r="C65" s="1" t="s">
        <v>77</v>
      </c>
      <c r="D65" s="1" t="s">
        <v>0</v>
      </c>
      <c r="E65" s="1" t="s">
        <v>103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2</v>
      </c>
      <c r="P65" s="1">
        <v>2</v>
      </c>
      <c r="Q65" s="1" t="s">
        <v>78</v>
      </c>
      <c r="R65" s="1" t="s">
        <v>78</v>
      </c>
      <c r="S65" s="1">
        <v>13</v>
      </c>
      <c r="T65" s="1">
        <v>11</v>
      </c>
      <c r="U65" s="1">
        <v>2</v>
      </c>
    </row>
    <row r="66" spans="1:21" x14ac:dyDescent="0.2">
      <c r="A66" s="1">
        <v>2024</v>
      </c>
      <c r="B66" s="1" t="s">
        <v>22</v>
      </c>
      <c r="C66" s="1" t="s">
        <v>77</v>
      </c>
      <c r="D66" s="1" t="s">
        <v>0</v>
      </c>
      <c r="E66" s="1" t="s">
        <v>103</v>
      </c>
      <c r="F66" s="1">
        <v>3</v>
      </c>
      <c r="G66" s="1">
        <v>3</v>
      </c>
      <c r="H66" s="1">
        <v>3</v>
      </c>
      <c r="I66" s="1">
        <v>2</v>
      </c>
      <c r="J66" s="1">
        <v>3</v>
      </c>
      <c r="K66" s="1">
        <v>1</v>
      </c>
      <c r="L66" s="1">
        <v>2</v>
      </c>
      <c r="M66" s="1">
        <v>2</v>
      </c>
      <c r="N66" s="1">
        <v>2</v>
      </c>
      <c r="O66" s="1">
        <v>3</v>
      </c>
      <c r="P66" s="1">
        <v>3</v>
      </c>
      <c r="Q66" s="1">
        <v>2</v>
      </c>
      <c r="R66" s="28">
        <v>1</v>
      </c>
      <c r="S66" s="28">
        <v>30</v>
      </c>
      <c r="T66" s="1">
        <v>13</v>
      </c>
      <c r="U66" s="1">
        <v>17</v>
      </c>
    </row>
    <row r="67" spans="1:21" x14ac:dyDescent="0.2">
      <c r="A67" s="1">
        <v>2024</v>
      </c>
      <c r="B67" s="1" t="s">
        <v>21</v>
      </c>
      <c r="C67" s="1" t="s">
        <v>77</v>
      </c>
      <c r="D67" s="1" t="s">
        <v>0</v>
      </c>
      <c r="E67" s="1" t="s">
        <v>111</v>
      </c>
      <c r="F67" s="1">
        <v>2</v>
      </c>
      <c r="G67" s="1">
        <v>2</v>
      </c>
      <c r="H67" s="1">
        <v>2</v>
      </c>
      <c r="I67" s="1">
        <v>2</v>
      </c>
      <c r="J67" s="1">
        <v>2</v>
      </c>
      <c r="K67" s="1">
        <v>2</v>
      </c>
      <c r="L67" s="1">
        <v>2</v>
      </c>
      <c r="M67" s="1">
        <v>2</v>
      </c>
      <c r="N67" s="1">
        <v>2</v>
      </c>
      <c r="O67" s="1">
        <v>2</v>
      </c>
      <c r="P67" s="1">
        <v>2</v>
      </c>
      <c r="Q67" s="1">
        <v>4</v>
      </c>
      <c r="R67" s="28">
        <v>2</v>
      </c>
      <c r="S67" s="28">
        <v>28</v>
      </c>
      <c r="T67" s="1">
        <v>13</v>
      </c>
      <c r="U67" s="1">
        <v>15</v>
      </c>
    </row>
    <row r="68" spans="1:21" x14ac:dyDescent="0.2">
      <c r="A68" s="1">
        <v>2024</v>
      </c>
      <c r="B68" s="1" t="s">
        <v>19</v>
      </c>
      <c r="C68" s="1" t="s">
        <v>77</v>
      </c>
      <c r="D68" s="1" t="s">
        <v>0</v>
      </c>
      <c r="E68" s="1" t="s">
        <v>111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 t="s">
        <v>78</v>
      </c>
      <c r="R68" s="28" t="s">
        <v>78</v>
      </c>
      <c r="S68" s="28">
        <v>22</v>
      </c>
      <c r="T68" s="1">
        <v>11</v>
      </c>
      <c r="U68" s="1">
        <v>11</v>
      </c>
    </row>
    <row r="69" spans="1:21" x14ac:dyDescent="0.2">
      <c r="A69" s="1">
        <v>2024</v>
      </c>
      <c r="B69" s="1" t="s">
        <v>17</v>
      </c>
      <c r="C69" s="1" t="s">
        <v>77</v>
      </c>
      <c r="D69" s="1" t="s">
        <v>0</v>
      </c>
      <c r="E69" s="1" t="s">
        <v>111</v>
      </c>
      <c r="F69" s="1">
        <v>4</v>
      </c>
      <c r="G69" s="1">
        <v>4</v>
      </c>
      <c r="H69" s="1">
        <v>3</v>
      </c>
      <c r="I69" s="1">
        <v>3</v>
      </c>
      <c r="J69" s="1">
        <v>4</v>
      </c>
      <c r="K69" s="1">
        <v>1</v>
      </c>
      <c r="L69" s="1">
        <v>3</v>
      </c>
      <c r="M69" s="1">
        <v>3</v>
      </c>
      <c r="N69" s="1">
        <v>2</v>
      </c>
      <c r="O69" s="1">
        <v>2</v>
      </c>
      <c r="P69" s="1">
        <v>3</v>
      </c>
      <c r="Q69" s="1">
        <v>4</v>
      </c>
      <c r="R69" s="28">
        <v>4</v>
      </c>
      <c r="S69" s="28">
        <v>40</v>
      </c>
      <c r="T69" s="1">
        <v>13</v>
      </c>
      <c r="U69" s="1">
        <v>27</v>
      </c>
    </row>
    <row r="70" spans="1:21" x14ac:dyDescent="0.2">
      <c r="A70" s="1">
        <v>2024</v>
      </c>
      <c r="B70" s="1" t="s">
        <v>16</v>
      </c>
      <c r="C70" s="1" t="s">
        <v>77</v>
      </c>
      <c r="D70" s="1" t="s">
        <v>0</v>
      </c>
      <c r="E70" s="1" t="s">
        <v>103</v>
      </c>
      <c r="F70" s="1">
        <v>1</v>
      </c>
      <c r="G70" s="1">
        <v>2</v>
      </c>
      <c r="H70" s="1">
        <v>2</v>
      </c>
      <c r="I70" s="1">
        <v>2</v>
      </c>
      <c r="J70" s="1">
        <v>2</v>
      </c>
      <c r="K70" s="1">
        <v>2</v>
      </c>
      <c r="L70" s="1">
        <v>2</v>
      </c>
      <c r="M70" s="1">
        <v>2</v>
      </c>
      <c r="N70" s="1">
        <v>2</v>
      </c>
      <c r="O70" s="1">
        <v>2</v>
      </c>
      <c r="P70" s="1">
        <v>2</v>
      </c>
      <c r="Q70" s="1">
        <v>1</v>
      </c>
      <c r="R70" s="1">
        <v>1</v>
      </c>
      <c r="S70" s="1">
        <v>23</v>
      </c>
      <c r="T70" s="1">
        <v>13</v>
      </c>
      <c r="U70" s="1">
        <v>10</v>
      </c>
    </row>
    <row r="71" spans="1:21" x14ac:dyDescent="0.2">
      <c r="A71" s="1">
        <v>2024</v>
      </c>
      <c r="B71" s="1" t="s">
        <v>14</v>
      </c>
      <c r="C71" s="1" t="s">
        <v>77</v>
      </c>
      <c r="D71" s="1" t="s">
        <v>0</v>
      </c>
      <c r="E71" s="1" t="s">
        <v>103</v>
      </c>
      <c r="F71" s="1">
        <v>2</v>
      </c>
      <c r="G71" s="1">
        <v>2</v>
      </c>
      <c r="H71" s="1">
        <v>2</v>
      </c>
      <c r="I71" s="1">
        <v>2</v>
      </c>
      <c r="J71" s="1">
        <v>3</v>
      </c>
      <c r="K71" s="1">
        <v>1</v>
      </c>
      <c r="L71" s="1">
        <v>2</v>
      </c>
      <c r="M71" s="1">
        <v>2</v>
      </c>
      <c r="N71" s="1">
        <v>2</v>
      </c>
      <c r="O71" s="1">
        <v>2</v>
      </c>
      <c r="P71" s="1">
        <v>2</v>
      </c>
      <c r="Q71" s="1">
        <v>2</v>
      </c>
      <c r="R71" s="1">
        <v>1</v>
      </c>
      <c r="S71" s="1">
        <v>25</v>
      </c>
      <c r="T71" s="1">
        <v>13</v>
      </c>
      <c r="U71" s="1">
        <v>12</v>
      </c>
    </row>
    <row r="72" spans="1:21" x14ac:dyDescent="0.2">
      <c r="A72" s="1">
        <v>2024</v>
      </c>
      <c r="B72" s="1" t="s">
        <v>13</v>
      </c>
      <c r="C72" s="1" t="s">
        <v>77</v>
      </c>
      <c r="D72" s="1" t="s">
        <v>0</v>
      </c>
      <c r="E72" s="1" t="s">
        <v>111</v>
      </c>
      <c r="F72" s="1">
        <v>3</v>
      </c>
      <c r="G72" s="1">
        <v>3</v>
      </c>
      <c r="H72" s="1">
        <v>3</v>
      </c>
      <c r="I72" s="1">
        <v>3</v>
      </c>
      <c r="J72" s="1">
        <v>3</v>
      </c>
      <c r="K72" s="1">
        <v>2</v>
      </c>
      <c r="L72" s="1">
        <v>2</v>
      </c>
      <c r="M72" s="1">
        <v>3</v>
      </c>
      <c r="N72" s="1">
        <v>3</v>
      </c>
      <c r="O72" s="1">
        <v>3</v>
      </c>
      <c r="P72" s="1">
        <v>3</v>
      </c>
      <c r="Q72" s="1">
        <v>2</v>
      </c>
      <c r="R72" s="28">
        <v>2</v>
      </c>
      <c r="S72" s="28">
        <v>35</v>
      </c>
      <c r="T72" s="1">
        <v>13</v>
      </c>
      <c r="U72" s="1">
        <v>22</v>
      </c>
    </row>
    <row r="73" spans="1:21" x14ac:dyDescent="0.2">
      <c r="A73" s="1">
        <v>2024</v>
      </c>
      <c r="B73" s="1" t="s">
        <v>12</v>
      </c>
      <c r="C73" s="1" t="s">
        <v>77</v>
      </c>
      <c r="D73" s="1" t="s">
        <v>0</v>
      </c>
      <c r="E73" s="1" t="s">
        <v>103</v>
      </c>
      <c r="F73" s="1">
        <v>2</v>
      </c>
      <c r="G73" s="1">
        <v>2</v>
      </c>
      <c r="H73" s="1">
        <v>1</v>
      </c>
      <c r="I73" s="1">
        <v>2</v>
      </c>
      <c r="J73" s="1">
        <v>2</v>
      </c>
      <c r="K73" s="1">
        <v>1</v>
      </c>
      <c r="L73" s="1">
        <v>1</v>
      </c>
      <c r="M73" s="1">
        <v>2</v>
      </c>
      <c r="N73" s="1">
        <v>2</v>
      </c>
      <c r="O73" s="1">
        <v>2</v>
      </c>
      <c r="P73" s="1">
        <v>2</v>
      </c>
      <c r="S73" s="1">
        <v>19</v>
      </c>
      <c r="T73" s="1">
        <v>11</v>
      </c>
      <c r="U73" s="1">
        <v>8</v>
      </c>
    </row>
    <row r="74" spans="1:21" x14ac:dyDescent="0.2">
      <c r="A74" s="1">
        <v>2024</v>
      </c>
      <c r="B74" s="1" t="s">
        <v>11</v>
      </c>
      <c r="C74" s="1" t="s">
        <v>77</v>
      </c>
      <c r="D74" s="1" t="s">
        <v>0</v>
      </c>
      <c r="E74" s="1" t="s">
        <v>103</v>
      </c>
      <c r="F74" s="1">
        <v>2</v>
      </c>
      <c r="G74" s="1">
        <v>2</v>
      </c>
      <c r="H74" s="1">
        <v>2</v>
      </c>
      <c r="I74" s="1">
        <v>2</v>
      </c>
      <c r="J74" s="1">
        <v>2</v>
      </c>
      <c r="K74" s="1">
        <v>1</v>
      </c>
      <c r="L74" s="1">
        <v>1</v>
      </c>
      <c r="M74" s="1">
        <v>2</v>
      </c>
      <c r="N74" s="1">
        <v>2</v>
      </c>
      <c r="O74" s="1">
        <v>2</v>
      </c>
      <c r="P74" s="1">
        <v>2</v>
      </c>
      <c r="Q74" s="1" t="s">
        <v>78</v>
      </c>
      <c r="R74" s="1" t="s">
        <v>78</v>
      </c>
      <c r="S74" s="1">
        <v>20</v>
      </c>
      <c r="T74" s="1">
        <v>11</v>
      </c>
      <c r="U74" s="1">
        <v>9</v>
      </c>
    </row>
    <row r="75" spans="1:21" x14ac:dyDescent="0.2">
      <c r="A75" s="1">
        <v>2024</v>
      </c>
      <c r="B75" s="1" t="s">
        <v>10</v>
      </c>
      <c r="C75" s="1" t="s">
        <v>77</v>
      </c>
      <c r="D75" s="1" t="s">
        <v>0</v>
      </c>
      <c r="E75" s="1" t="s">
        <v>111</v>
      </c>
      <c r="F75" s="1">
        <v>2</v>
      </c>
      <c r="G75" s="1">
        <v>2</v>
      </c>
      <c r="H75" s="1">
        <v>2</v>
      </c>
      <c r="I75" s="1">
        <v>1</v>
      </c>
      <c r="J75" s="1">
        <v>1</v>
      </c>
      <c r="K75" s="1">
        <v>1</v>
      </c>
      <c r="L75" s="1">
        <v>2</v>
      </c>
      <c r="M75" s="1">
        <v>2</v>
      </c>
      <c r="N75" s="1">
        <v>2</v>
      </c>
      <c r="O75" s="1">
        <v>2</v>
      </c>
      <c r="P75" s="1">
        <v>2</v>
      </c>
      <c r="Q75" s="1" t="s">
        <v>78</v>
      </c>
      <c r="R75" s="1" t="s">
        <v>78</v>
      </c>
      <c r="S75" s="1">
        <v>19</v>
      </c>
      <c r="T75" s="1">
        <v>11</v>
      </c>
      <c r="U75" s="1">
        <v>8</v>
      </c>
    </row>
    <row r="76" spans="1:21" x14ac:dyDescent="0.2">
      <c r="A76" s="1">
        <v>2024</v>
      </c>
      <c r="B76" s="1" t="s">
        <v>9</v>
      </c>
      <c r="C76" s="1" t="s">
        <v>77</v>
      </c>
      <c r="D76" s="1" t="s">
        <v>0</v>
      </c>
      <c r="E76" s="1" t="s">
        <v>103</v>
      </c>
      <c r="F76" s="35">
        <v>1</v>
      </c>
      <c r="G76" s="1">
        <v>1</v>
      </c>
      <c r="H76" s="1">
        <v>1</v>
      </c>
      <c r="I76" s="1">
        <v>2</v>
      </c>
      <c r="J76" s="1">
        <v>2</v>
      </c>
      <c r="K76" s="1">
        <v>2</v>
      </c>
      <c r="L76" s="1">
        <v>2</v>
      </c>
      <c r="M76" s="1">
        <v>2</v>
      </c>
      <c r="N76" s="1">
        <v>2</v>
      </c>
      <c r="O76" s="1">
        <v>2</v>
      </c>
      <c r="P76" s="1">
        <v>2</v>
      </c>
      <c r="S76" s="1">
        <v>19</v>
      </c>
      <c r="T76" s="1">
        <v>11</v>
      </c>
      <c r="U76" s="1">
        <v>8</v>
      </c>
    </row>
    <row r="77" spans="1:21" x14ac:dyDescent="0.2">
      <c r="A77" s="1">
        <v>2024</v>
      </c>
      <c r="B77" s="1" t="s">
        <v>8</v>
      </c>
      <c r="C77" s="1" t="s">
        <v>77</v>
      </c>
      <c r="D77" s="1" t="s">
        <v>0</v>
      </c>
      <c r="E77" s="1" t="s">
        <v>111</v>
      </c>
      <c r="F77" s="1">
        <v>3</v>
      </c>
      <c r="G77" s="1">
        <v>3</v>
      </c>
      <c r="H77" s="1">
        <v>3</v>
      </c>
      <c r="I77" s="1">
        <v>3</v>
      </c>
      <c r="J77" s="1">
        <v>3</v>
      </c>
      <c r="K77" s="1">
        <v>3</v>
      </c>
      <c r="L77" s="1">
        <v>3</v>
      </c>
      <c r="M77" s="1">
        <v>3</v>
      </c>
      <c r="N77" s="1">
        <v>2</v>
      </c>
      <c r="O77" s="1">
        <v>2</v>
      </c>
      <c r="P77" s="1">
        <v>2</v>
      </c>
      <c r="Q77" s="1">
        <v>4</v>
      </c>
      <c r="R77" s="1">
        <v>3</v>
      </c>
      <c r="S77" s="1">
        <v>37</v>
      </c>
      <c r="T77" s="1">
        <v>13</v>
      </c>
      <c r="U77" s="1">
        <v>24</v>
      </c>
    </row>
    <row r="78" spans="1:21" x14ac:dyDescent="0.2">
      <c r="A78" s="1">
        <v>2024</v>
      </c>
      <c r="B78" s="1" t="s">
        <v>7</v>
      </c>
      <c r="C78" s="1" t="s">
        <v>77</v>
      </c>
      <c r="D78" s="1" t="s">
        <v>0</v>
      </c>
      <c r="E78" s="1" t="s">
        <v>111</v>
      </c>
      <c r="F78" s="1">
        <v>2</v>
      </c>
      <c r="G78" s="1">
        <v>2</v>
      </c>
      <c r="H78" s="1">
        <v>2</v>
      </c>
      <c r="I78" s="1">
        <v>1</v>
      </c>
      <c r="J78" s="1">
        <v>2</v>
      </c>
      <c r="K78" s="1">
        <v>2</v>
      </c>
      <c r="L78" s="1">
        <v>1</v>
      </c>
      <c r="M78" s="1">
        <v>1</v>
      </c>
      <c r="N78" s="1">
        <v>2</v>
      </c>
      <c r="O78" s="1">
        <v>2</v>
      </c>
      <c r="P78" s="1">
        <v>1</v>
      </c>
      <c r="Q78" s="1">
        <v>1</v>
      </c>
      <c r="R78" s="28">
        <v>1</v>
      </c>
      <c r="S78" s="28">
        <v>20</v>
      </c>
      <c r="T78" s="1">
        <v>13</v>
      </c>
      <c r="U78" s="1">
        <v>7</v>
      </c>
    </row>
    <row r="79" spans="1:21" x14ac:dyDescent="0.2">
      <c r="A79" s="1">
        <v>2024</v>
      </c>
      <c r="B79" s="1" t="s">
        <v>6</v>
      </c>
      <c r="C79" s="1" t="s">
        <v>77</v>
      </c>
      <c r="D79" s="1" t="s">
        <v>0</v>
      </c>
      <c r="E79" s="1" t="s">
        <v>103</v>
      </c>
      <c r="F79" s="1">
        <v>3</v>
      </c>
      <c r="G79" s="1">
        <v>3</v>
      </c>
      <c r="H79" s="1">
        <v>3</v>
      </c>
      <c r="I79" s="1">
        <v>4</v>
      </c>
      <c r="J79" s="1">
        <v>3</v>
      </c>
      <c r="K79" s="1">
        <v>3</v>
      </c>
      <c r="L79" s="1">
        <v>3</v>
      </c>
      <c r="M79" s="1">
        <v>3</v>
      </c>
      <c r="N79" s="1">
        <v>2</v>
      </c>
      <c r="O79" s="1">
        <v>3</v>
      </c>
      <c r="P79" s="1">
        <v>3</v>
      </c>
      <c r="Q79" s="1">
        <v>4</v>
      </c>
      <c r="R79" s="28">
        <v>3</v>
      </c>
      <c r="S79" s="28">
        <v>40</v>
      </c>
      <c r="T79" s="1">
        <v>13</v>
      </c>
      <c r="U79" s="1">
        <v>27</v>
      </c>
    </row>
    <row r="80" spans="1:21" x14ac:dyDescent="0.2">
      <c r="A80" s="1">
        <v>2024</v>
      </c>
      <c r="B80" s="1" t="s">
        <v>5</v>
      </c>
      <c r="C80" s="1" t="s">
        <v>77</v>
      </c>
      <c r="D80" s="1" t="s">
        <v>0</v>
      </c>
      <c r="E80" s="1" t="s">
        <v>111</v>
      </c>
      <c r="F80" s="1">
        <v>1</v>
      </c>
      <c r="G80" s="1">
        <v>2</v>
      </c>
      <c r="H80" s="1">
        <v>2</v>
      </c>
      <c r="I80" s="1">
        <v>2</v>
      </c>
      <c r="J80" s="1">
        <v>1</v>
      </c>
      <c r="K80" s="1">
        <v>1</v>
      </c>
      <c r="L80" s="1">
        <v>1</v>
      </c>
      <c r="M80" s="1">
        <v>2</v>
      </c>
      <c r="N80" s="1">
        <v>2</v>
      </c>
      <c r="O80" s="1">
        <v>2</v>
      </c>
      <c r="P80" s="1">
        <v>2</v>
      </c>
      <c r="Q80" s="1">
        <v>4</v>
      </c>
      <c r="R80" s="1">
        <v>1</v>
      </c>
      <c r="S80" s="1">
        <v>23</v>
      </c>
      <c r="T80" s="1">
        <v>13</v>
      </c>
      <c r="U80" s="1">
        <v>10</v>
      </c>
    </row>
    <row r="81" spans="1:21" x14ac:dyDescent="0.2">
      <c r="A81" s="1">
        <v>2024</v>
      </c>
      <c r="B81" s="1" t="s">
        <v>4</v>
      </c>
      <c r="C81" s="1" t="s">
        <v>77</v>
      </c>
      <c r="D81" s="1" t="s">
        <v>0</v>
      </c>
      <c r="E81" s="1" t="s">
        <v>111</v>
      </c>
      <c r="F81" s="1">
        <v>3</v>
      </c>
      <c r="G81" s="1">
        <v>3</v>
      </c>
      <c r="H81" s="1">
        <v>3</v>
      </c>
      <c r="I81" s="1">
        <v>4</v>
      </c>
      <c r="J81" s="1">
        <v>4</v>
      </c>
      <c r="K81" s="1">
        <v>4</v>
      </c>
      <c r="L81" s="1">
        <v>4</v>
      </c>
      <c r="M81" s="1">
        <v>4</v>
      </c>
      <c r="N81" s="1">
        <v>3</v>
      </c>
      <c r="O81" s="1">
        <v>3</v>
      </c>
      <c r="P81" s="1">
        <v>3</v>
      </c>
      <c r="Q81" s="1">
        <v>4</v>
      </c>
      <c r="R81" s="1">
        <v>4</v>
      </c>
      <c r="S81" s="1">
        <v>46</v>
      </c>
      <c r="T81" s="1">
        <v>13</v>
      </c>
      <c r="U81" s="1">
        <v>33</v>
      </c>
    </row>
    <row r="82" spans="1:21" x14ac:dyDescent="0.2">
      <c r="A82" s="1">
        <v>2024</v>
      </c>
      <c r="B82" s="1" t="s">
        <v>3</v>
      </c>
      <c r="C82" s="1" t="s">
        <v>77</v>
      </c>
      <c r="D82" s="1" t="s">
        <v>0</v>
      </c>
      <c r="E82" s="1" t="s">
        <v>103</v>
      </c>
      <c r="F82" s="1">
        <v>2</v>
      </c>
      <c r="G82" s="1">
        <v>2</v>
      </c>
      <c r="H82" s="1">
        <v>2</v>
      </c>
      <c r="I82" s="1">
        <v>2</v>
      </c>
      <c r="J82" s="1">
        <v>3</v>
      </c>
      <c r="K82" s="1">
        <v>2</v>
      </c>
      <c r="L82" s="1">
        <v>2</v>
      </c>
      <c r="M82" s="1">
        <v>3</v>
      </c>
      <c r="N82" s="1">
        <v>2</v>
      </c>
      <c r="O82" s="1">
        <v>2</v>
      </c>
      <c r="P82" s="1">
        <v>2</v>
      </c>
      <c r="Q82" s="1">
        <v>2</v>
      </c>
      <c r="R82" s="1">
        <v>1</v>
      </c>
      <c r="S82" s="1">
        <v>27</v>
      </c>
      <c r="T82" s="1">
        <v>13</v>
      </c>
      <c r="U82" s="1">
        <v>14</v>
      </c>
    </row>
    <row r="83" spans="1:21" x14ac:dyDescent="0.2">
      <c r="A83" s="1">
        <v>2024</v>
      </c>
      <c r="B83" s="1" t="s">
        <v>2</v>
      </c>
      <c r="C83" s="1" t="s">
        <v>77</v>
      </c>
      <c r="D83" s="1" t="s">
        <v>0</v>
      </c>
      <c r="E83" s="1" t="s">
        <v>103</v>
      </c>
      <c r="F83" s="1">
        <v>2</v>
      </c>
      <c r="G83" s="1">
        <v>2</v>
      </c>
      <c r="H83" s="1">
        <v>2</v>
      </c>
      <c r="I83" s="1">
        <v>2</v>
      </c>
      <c r="J83" s="1">
        <v>2</v>
      </c>
      <c r="K83" s="1">
        <v>2</v>
      </c>
      <c r="L83" s="1">
        <v>2</v>
      </c>
      <c r="M83" s="1">
        <v>3</v>
      </c>
      <c r="N83" s="1">
        <v>2</v>
      </c>
      <c r="O83" s="1">
        <v>2</v>
      </c>
      <c r="P83" s="1">
        <v>2</v>
      </c>
      <c r="Q83" s="1">
        <v>4</v>
      </c>
      <c r="R83" s="1">
        <v>1</v>
      </c>
      <c r="S83" s="1">
        <v>28</v>
      </c>
      <c r="T83" s="1">
        <v>13</v>
      </c>
      <c r="U83" s="1">
        <v>15</v>
      </c>
    </row>
    <row r="84" spans="1:21" x14ac:dyDescent="0.2">
      <c r="A84" s="1">
        <v>2025</v>
      </c>
      <c r="B84" s="1">
        <v>27</v>
      </c>
      <c r="C84" s="1" t="s">
        <v>77</v>
      </c>
      <c r="D84" s="1" t="s">
        <v>0</v>
      </c>
      <c r="E84" s="1" t="s">
        <v>103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2</v>
      </c>
      <c r="P84" s="1">
        <v>2</v>
      </c>
      <c r="Q84" s="1">
        <v>1</v>
      </c>
      <c r="R84" s="1">
        <v>0</v>
      </c>
      <c r="S84" s="1">
        <v>14</v>
      </c>
      <c r="T84" s="1">
        <v>13</v>
      </c>
      <c r="U84" s="1">
        <v>1</v>
      </c>
    </row>
    <row r="85" spans="1:21" x14ac:dyDescent="0.2">
      <c r="A85" s="1">
        <v>2025</v>
      </c>
      <c r="B85" s="1">
        <v>28</v>
      </c>
      <c r="C85" s="1" t="s">
        <v>77</v>
      </c>
      <c r="D85" s="1" t="s">
        <v>0</v>
      </c>
      <c r="E85" s="1" t="s">
        <v>103</v>
      </c>
      <c r="F85" s="1">
        <v>2</v>
      </c>
      <c r="G85" s="1">
        <v>2</v>
      </c>
      <c r="H85" s="1">
        <v>1</v>
      </c>
      <c r="I85" s="1">
        <v>1</v>
      </c>
      <c r="J85" s="1">
        <v>2</v>
      </c>
      <c r="K85" s="1">
        <v>2</v>
      </c>
      <c r="L85" s="1">
        <v>2</v>
      </c>
      <c r="M85" s="1">
        <v>2</v>
      </c>
      <c r="N85" s="1">
        <v>2</v>
      </c>
      <c r="O85" s="1">
        <v>2</v>
      </c>
      <c r="P85" s="1">
        <v>2</v>
      </c>
      <c r="Q85" s="1">
        <v>0</v>
      </c>
      <c r="R85" s="1">
        <v>0</v>
      </c>
      <c r="S85" s="1">
        <v>20</v>
      </c>
      <c r="T85" s="1">
        <v>13</v>
      </c>
      <c r="U85" s="1">
        <v>7</v>
      </c>
    </row>
    <row r="86" spans="1:21" x14ac:dyDescent="0.2">
      <c r="A86" s="1">
        <v>2025</v>
      </c>
      <c r="B86" s="1">
        <v>30</v>
      </c>
      <c r="C86" s="1" t="s">
        <v>77</v>
      </c>
      <c r="D86" s="1" t="s">
        <v>0</v>
      </c>
      <c r="E86" s="1" t="s">
        <v>103</v>
      </c>
      <c r="F86" s="1">
        <v>2</v>
      </c>
      <c r="G86" s="1">
        <v>2</v>
      </c>
      <c r="H86" s="1">
        <v>2</v>
      </c>
      <c r="I86" s="1">
        <v>2</v>
      </c>
      <c r="J86" s="1">
        <v>2</v>
      </c>
      <c r="K86" s="1">
        <v>2</v>
      </c>
      <c r="L86" s="1">
        <v>2</v>
      </c>
      <c r="M86" s="1">
        <v>2</v>
      </c>
      <c r="N86" s="1">
        <v>2</v>
      </c>
      <c r="O86" s="1">
        <v>2</v>
      </c>
      <c r="P86" s="1">
        <v>3</v>
      </c>
      <c r="Q86" s="1">
        <v>3</v>
      </c>
      <c r="R86" s="1">
        <v>2</v>
      </c>
      <c r="S86" s="1">
        <v>28</v>
      </c>
      <c r="T86" s="1">
        <v>13</v>
      </c>
      <c r="U86" s="1">
        <v>15</v>
      </c>
    </row>
    <row r="87" spans="1:21" x14ac:dyDescent="0.2">
      <c r="A87" s="1">
        <v>2025</v>
      </c>
      <c r="B87" s="1">
        <v>44</v>
      </c>
      <c r="C87" s="1" t="s">
        <v>77</v>
      </c>
      <c r="D87" s="1" t="s">
        <v>0</v>
      </c>
      <c r="E87" s="1" t="s">
        <v>103</v>
      </c>
      <c r="F87" s="1">
        <v>3</v>
      </c>
      <c r="G87" s="1">
        <v>3</v>
      </c>
      <c r="H87" s="1">
        <v>3</v>
      </c>
      <c r="I87" s="1">
        <v>4</v>
      </c>
      <c r="J87" s="1">
        <v>3</v>
      </c>
      <c r="K87" s="1">
        <v>4</v>
      </c>
      <c r="L87" s="1">
        <v>3</v>
      </c>
      <c r="M87" s="1">
        <v>3</v>
      </c>
      <c r="N87" s="1">
        <v>3</v>
      </c>
      <c r="O87" s="1">
        <v>3</v>
      </c>
      <c r="P87" s="1">
        <v>3</v>
      </c>
      <c r="Q87" s="1">
        <v>4</v>
      </c>
      <c r="R87" s="1">
        <v>3</v>
      </c>
      <c r="S87" s="1">
        <v>42</v>
      </c>
      <c r="T87" s="1">
        <v>13</v>
      </c>
      <c r="U87" s="1">
        <v>29</v>
      </c>
    </row>
    <row r="88" spans="1:21" x14ac:dyDescent="0.2">
      <c r="A88" s="1">
        <v>2025</v>
      </c>
      <c r="B88" s="1">
        <v>46</v>
      </c>
      <c r="C88" s="1" t="s">
        <v>77</v>
      </c>
      <c r="D88" s="1" t="s">
        <v>0</v>
      </c>
      <c r="E88" s="1" t="s">
        <v>111</v>
      </c>
      <c r="F88" s="1">
        <v>2</v>
      </c>
      <c r="G88" s="1">
        <v>3</v>
      </c>
      <c r="H88" s="1">
        <v>3</v>
      </c>
      <c r="I88" s="1">
        <v>2</v>
      </c>
      <c r="J88" s="1">
        <v>3</v>
      </c>
      <c r="K88" s="1">
        <v>2</v>
      </c>
      <c r="L88" s="1">
        <v>2</v>
      </c>
      <c r="M88" s="1">
        <v>1</v>
      </c>
      <c r="N88" s="1">
        <v>2</v>
      </c>
      <c r="O88" s="1">
        <v>2</v>
      </c>
      <c r="P88" s="1">
        <v>2</v>
      </c>
      <c r="Q88" s="1">
        <v>2</v>
      </c>
      <c r="R88" s="1">
        <v>1</v>
      </c>
      <c r="S88" s="1">
        <v>27</v>
      </c>
      <c r="T88" s="1">
        <v>13</v>
      </c>
      <c r="U88" s="1">
        <v>14</v>
      </c>
    </row>
    <row r="89" spans="1:21" x14ac:dyDescent="0.2">
      <c r="A89" s="1">
        <v>2025</v>
      </c>
      <c r="B89" s="1">
        <v>48</v>
      </c>
      <c r="C89" s="1" t="s">
        <v>77</v>
      </c>
      <c r="D89" s="1" t="s">
        <v>0</v>
      </c>
      <c r="E89" s="1" t="s">
        <v>103</v>
      </c>
      <c r="F89" s="1">
        <v>2</v>
      </c>
      <c r="G89" s="1">
        <v>2</v>
      </c>
      <c r="H89" s="1">
        <v>2</v>
      </c>
      <c r="I89" s="1">
        <v>2</v>
      </c>
      <c r="J89" s="1">
        <v>2</v>
      </c>
      <c r="K89" s="1">
        <v>2</v>
      </c>
      <c r="L89" s="1">
        <v>2</v>
      </c>
      <c r="M89" s="1">
        <v>2</v>
      </c>
      <c r="N89" s="1">
        <v>2</v>
      </c>
      <c r="O89" s="1">
        <v>3</v>
      </c>
      <c r="P89" s="1">
        <v>2</v>
      </c>
      <c r="Q89" s="1">
        <v>0</v>
      </c>
      <c r="R89" s="1">
        <v>0</v>
      </c>
      <c r="S89" s="1">
        <v>23</v>
      </c>
      <c r="T89" s="1">
        <v>13</v>
      </c>
      <c r="U89" s="1">
        <v>10</v>
      </c>
    </row>
    <row r="90" spans="1:21" x14ac:dyDescent="0.2">
      <c r="A90" s="1">
        <v>2025</v>
      </c>
      <c r="B90" s="1">
        <v>61</v>
      </c>
      <c r="C90" s="1" t="s">
        <v>77</v>
      </c>
      <c r="D90" s="1" t="s">
        <v>0</v>
      </c>
      <c r="E90" s="1" t="s">
        <v>103</v>
      </c>
      <c r="F90" s="1">
        <v>2</v>
      </c>
      <c r="G90" s="1">
        <v>2</v>
      </c>
      <c r="H90" s="1">
        <v>2</v>
      </c>
      <c r="I90" s="1">
        <v>2</v>
      </c>
      <c r="J90" s="1">
        <v>2</v>
      </c>
      <c r="K90" s="1">
        <v>1</v>
      </c>
      <c r="L90" s="1">
        <v>2</v>
      </c>
      <c r="M90" s="1">
        <v>2</v>
      </c>
      <c r="N90" s="1">
        <v>2</v>
      </c>
      <c r="O90" s="1">
        <v>2</v>
      </c>
      <c r="P90" s="1">
        <v>3</v>
      </c>
      <c r="Q90" s="1">
        <v>1</v>
      </c>
      <c r="R90" s="1">
        <v>0</v>
      </c>
      <c r="S90" s="1">
        <v>23</v>
      </c>
      <c r="T90" s="1">
        <v>13</v>
      </c>
      <c r="U90" s="1">
        <v>10</v>
      </c>
    </row>
    <row r="91" spans="1:21" x14ac:dyDescent="0.2">
      <c r="A91" s="1">
        <v>2025</v>
      </c>
      <c r="B91" s="1">
        <v>62</v>
      </c>
      <c r="C91" s="1" t="s">
        <v>77</v>
      </c>
      <c r="D91" s="1" t="s">
        <v>0</v>
      </c>
      <c r="E91" s="1" t="s">
        <v>103</v>
      </c>
      <c r="F91" s="1">
        <v>2</v>
      </c>
      <c r="G91" s="1">
        <v>2</v>
      </c>
      <c r="H91" s="1">
        <v>2</v>
      </c>
      <c r="I91" s="1">
        <v>2</v>
      </c>
      <c r="J91" s="1">
        <v>2</v>
      </c>
      <c r="K91" s="1">
        <v>2</v>
      </c>
      <c r="L91" s="1">
        <v>2</v>
      </c>
      <c r="M91" s="1">
        <v>2</v>
      </c>
      <c r="N91" s="1">
        <v>2</v>
      </c>
      <c r="O91" s="1">
        <v>2</v>
      </c>
      <c r="P91" s="1">
        <v>2</v>
      </c>
      <c r="Q91" s="1">
        <v>0</v>
      </c>
      <c r="R91" s="1">
        <v>0</v>
      </c>
      <c r="S91" s="1">
        <v>22</v>
      </c>
      <c r="T91" s="1">
        <v>13</v>
      </c>
      <c r="U91" s="1">
        <v>9</v>
      </c>
    </row>
    <row r="92" spans="1:21" x14ac:dyDescent="0.2">
      <c r="A92" s="1">
        <v>2025</v>
      </c>
      <c r="B92" s="1">
        <v>63</v>
      </c>
      <c r="C92" s="1" t="s">
        <v>77</v>
      </c>
      <c r="D92" s="1" t="s">
        <v>0</v>
      </c>
      <c r="E92" s="1" t="s">
        <v>111</v>
      </c>
      <c r="F92" s="1">
        <v>2</v>
      </c>
      <c r="G92" s="1">
        <v>2</v>
      </c>
      <c r="H92" s="1">
        <v>2</v>
      </c>
      <c r="I92" s="1">
        <v>2</v>
      </c>
      <c r="J92" s="1">
        <v>2</v>
      </c>
      <c r="K92" s="1">
        <v>2</v>
      </c>
      <c r="L92" s="1">
        <v>2</v>
      </c>
      <c r="M92" s="1">
        <v>2</v>
      </c>
      <c r="N92" s="1">
        <v>2</v>
      </c>
      <c r="O92" s="1">
        <v>2</v>
      </c>
      <c r="P92" s="1">
        <v>2</v>
      </c>
      <c r="Q92" s="1">
        <v>1</v>
      </c>
      <c r="R92" s="1">
        <v>0</v>
      </c>
      <c r="S92" s="1">
        <v>23</v>
      </c>
      <c r="T92" s="1">
        <v>13</v>
      </c>
      <c r="U92" s="1">
        <v>10</v>
      </c>
    </row>
    <row r="93" spans="1:21" x14ac:dyDescent="0.2">
      <c r="A93" s="1">
        <v>2025</v>
      </c>
      <c r="B93" s="1">
        <v>71</v>
      </c>
      <c r="C93" s="1" t="s">
        <v>77</v>
      </c>
      <c r="D93" s="1" t="s">
        <v>0</v>
      </c>
      <c r="E93" s="1" t="s">
        <v>103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2</v>
      </c>
      <c r="N93" s="1">
        <v>1</v>
      </c>
      <c r="O93" s="1">
        <v>1</v>
      </c>
      <c r="P93" s="1">
        <v>2</v>
      </c>
      <c r="Q93" s="1">
        <v>1</v>
      </c>
      <c r="R93" s="1">
        <v>0</v>
      </c>
      <c r="S93" s="1">
        <v>14</v>
      </c>
      <c r="T93" s="1">
        <v>13</v>
      </c>
      <c r="U93" s="1">
        <v>1</v>
      </c>
    </row>
    <row r="94" spans="1:21" x14ac:dyDescent="0.2">
      <c r="A94" s="1">
        <v>2025</v>
      </c>
      <c r="B94" s="1">
        <v>73</v>
      </c>
      <c r="C94" s="1" t="s">
        <v>77</v>
      </c>
      <c r="D94" s="1" t="s">
        <v>0</v>
      </c>
      <c r="E94" s="1" t="s">
        <v>111</v>
      </c>
      <c r="F94" s="1">
        <v>2</v>
      </c>
      <c r="G94" s="1">
        <v>2</v>
      </c>
      <c r="H94" s="1">
        <v>2</v>
      </c>
      <c r="I94" s="1">
        <v>2</v>
      </c>
      <c r="J94" s="1">
        <v>2</v>
      </c>
      <c r="K94" s="1">
        <v>2</v>
      </c>
      <c r="L94" s="1">
        <v>2</v>
      </c>
      <c r="M94" s="1">
        <v>2</v>
      </c>
      <c r="N94" s="1">
        <v>2</v>
      </c>
      <c r="O94" s="1">
        <v>2</v>
      </c>
      <c r="P94" s="1">
        <v>2</v>
      </c>
      <c r="Q94" s="1">
        <v>4</v>
      </c>
      <c r="R94" s="1">
        <v>1</v>
      </c>
      <c r="S94" s="1">
        <v>27</v>
      </c>
      <c r="T94" s="1">
        <v>13</v>
      </c>
      <c r="U94" s="1">
        <v>14</v>
      </c>
    </row>
    <row r="95" spans="1:21" x14ac:dyDescent="0.2">
      <c r="A95" s="1">
        <v>2025</v>
      </c>
      <c r="B95" s="1">
        <v>74</v>
      </c>
      <c r="C95" s="1" t="s">
        <v>77</v>
      </c>
      <c r="D95" s="1" t="s">
        <v>0</v>
      </c>
      <c r="E95" s="1" t="s">
        <v>103</v>
      </c>
      <c r="F95" s="1">
        <v>2</v>
      </c>
      <c r="G95" s="1">
        <v>2</v>
      </c>
      <c r="H95" s="1">
        <v>3</v>
      </c>
      <c r="I95" s="1">
        <v>3</v>
      </c>
      <c r="J95" s="1">
        <v>3</v>
      </c>
      <c r="K95" s="1">
        <v>1</v>
      </c>
      <c r="L95" s="1">
        <v>2</v>
      </c>
      <c r="M95" s="1">
        <v>3</v>
      </c>
      <c r="N95" s="1">
        <v>3</v>
      </c>
      <c r="O95" s="1">
        <v>3</v>
      </c>
      <c r="P95" s="1">
        <v>3</v>
      </c>
      <c r="Q95" s="1">
        <v>4</v>
      </c>
      <c r="R95" s="1">
        <v>3</v>
      </c>
      <c r="S95" s="1">
        <v>35</v>
      </c>
      <c r="T95" s="1">
        <v>13</v>
      </c>
      <c r="U95" s="1">
        <v>22</v>
      </c>
    </row>
    <row r="96" spans="1:21" x14ac:dyDescent="0.2">
      <c r="A96" s="1">
        <v>2025</v>
      </c>
      <c r="B96" s="1">
        <v>75</v>
      </c>
      <c r="C96" s="1" t="s">
        <v>77</v>
      </c>
      <c r="D96" s="1" t="s">
        <v>0</v>
      </c>
      <c r="E96" s="1" t="s">
        <v>103</v>
      </c>
      <c r="F96" s="1">
        <v>1</v>
      </c>
      <c r="G96" s="1">
        <v>1</v>
      </c>
      <c r="H96" s="1">
        <v>1</v>
      </c>
      <c r="I96" s="1">
        <v>2</v>
      </c>
      <c r="J96" s="1">
        <v>2</v>
      </c>
      <c r="K96" s="1">
        <v>1</v>
      </c>
      <c r="L96" s="1">
        <v>1</v>
      </c>
      <c r="M96" s="1">
        <v>2</v>
      </c>
      <c r="N96" s="1">
        <v>2</v>
      </c>
      <c r="O96" s="1">
        <v>2</v>
      </c>
      <c r="P96" s="1">
        <v>2</v>
      </c>
      <c r="Q96" s="1">
        <v>0</v>
      </c>
      <c r="R96" s="1">
        <v>0</v>
      </c>
      <c r="S96" s="1">
        <v>17</v>
      </c>
      <c r="T96" s="1">
        <v>13</v>
      </c>
      <c r="U96" s="1">
        <v>4</v>
      </c>
    </row>
    <row r="97" spans="1:21" x14ac:dyDescent="0.2">
      <c r="A97" s="1">
        <v>2025</v>
      </c>
      <c r="B97" s="1">
        <v>76</v>
      </c>
      <c r="C97" s="1" t="s">
        <v>77</v>
      </c>
      <c r="D97" s="1" t="s">
        <v>0</v>
      </c>
      <c r="E97" s="1" t="s">
        <v>103</v>
      </c>
      <c r="F97" s="1">
        <v>2</v>
      </c>
      <c r="G97" s="1">
        <v>2</v>
      </c>
      <c r="H97" s="1">
        <v>2</v>
      </c>
      <c r="I97" s="1">
        <v>2</v>
      </c>
      <c r="J97" s="1">
        <v>2</v>
      </c>
      <c r="K97" s="1">
        <v>1</v>
      </c>
      <c r="L97" s="1">
        <v>2</v>
      </c>
      <c r="M97" s="1">
        <v>2</v>
      </c>
      <c r="N97" s="1">
        <v>2</v>
      </c>
      <c r="O97" s="1">
        <v>2</v>
      </c>
      <c r="P97" s="1">
        <v>2</v>
      </c>
      <c r="Q97" s="1">
        <v>1</v>
      </c>
      <c r="R97" s="1">
        <v>1</v>
      </c>
      <c r="S97" s="1">
        <v>23</v>
      </c>
      <c r="T97" s="1">
        <v>13</v>
      </c>
      <c r="U97" s="1">
        <v>10</v>
      </c>
    </row>
    <row r="98" spans="1:21" x14ac:dyDescent="0.2">
      <c r="A98" s="1">
        <v>2025</v>
      </c>
      <c r="B98" s="1">
        <v>78</v>
      </c>
      <c r="C98" s="1" t="s">
        <v>77</v>
      </c>
      <c r="D98" s="1" t="s">
        <v>0</v>
      </c>
      <c r="E98" s="1" t="s">
        <v>103</v>
      </c>
      <c r="F98" s="1">
        <v>2</v>
      </c>
      <c r="G98" s="1">
        <v>3</v>
      </c>
      <c r="H98" s="1">
        <v>2</v>
      </c>
      <c r="I98" s="1">
        <v>2</v>
      </c>
      <c r="J98" s="1">
        <v>2</v>
      </c>
      <c r="K98" s="1">
        <v>1</v>
      </c>
      <c r="L98" s="1">
        <v>1</v>
      </c>
      <c r="M98" s="1">
        <v>1</v>
      </c>
      <c r="N98" s="1">
        <v>2</v>
      </c>
      <c r="O98" s="1">
        <v>2</v>
      </c>
      <c r="P98" s="1">
        <v>2</v>
      </c>
      <c r="Q98" s="1">
        <v>0</v>
      </c>
      <c r="R98" s="1">
        <v>0</v>
      </c>
      <c r="S98" s="1">
        <v>20</v>
      </c>
      <c r="T98" s="1">
        <v>13</v>
      </c>
      <c r="U98" s="1">
        <v>7</v>
      </c>
    </row>
    <row r="99" spans="1:21" x14ac:dyDescent="0.2">
      <c r="A99" s="1">
        <v>2025</v>
      </c>
      <c r="B99" s="1">
        <v>79</v>
      </c>
      <c r="C99" s="1" t="s">
        <v>77</v>
      </c>
      <c r="D99" s="1" t="s">
        <v>0</v>
      </c>
      <c r="E99" s="1" t="s">
        <v>103</v>
      </c>
      <c r="F99" s="1">
        <v>4</v>
      </c>
      <c r="G99" s="1">
        <v>4</v>
      </c>
      <c r="H99" s="1">
        <v>4</v>
      </c>
      <c r="I99" s="1">
        <v>4</v>
      </c>
      <c r="J99" s="1">
        <v>4</v>
      </c>
      <c r="K99" s="1">
        <v>3</v>
      </c>
      <c r="L99" s="1">
        <v>4</v>
      </c>
      <c r="M99" s="1">
        <v>4</v>
      </c>
      <c r="N99" s="1">
        <v>2</v>
      </c>
      <c r="O99" s="1">
        <v>3</v>
      </c>
      <c r="P99" s="1">
        <v>4</v>
      </c>
      <c r="Q99" s="1">
        <v>3</v>
      </c>
      <c r="R99" s="1">
        <v>4</v>
      </c>
      <c r="S99" s="1">
        <v>47</v>
      </c>
      <c r="T99" s="1">
        <v>13</v>
      </c>
      <c r="U99" s="1">
        <v>34</v>
      </c>
    </row>
    <row r="100" spans="1:21" x14ac:dyDescent="0.2">
      <c r="A100" s="1">
        <v>2025</v>
      </c>
      <c r="B100" s="1">
        <v>96</v>
      </c>
      <c r="C100" s="1" t="s">
        <v>77</v>
      </c>
      <c r="D100" s="1" t="s">
        <v>0</v>
      </c>
      <c r="E100" s="1" t="s">
        <v>103</v>
      </c>
      <c r="F100" s="1">
        <v>2</v>
      </c>
      <c r="G100" s="1">
        <v>2</v>
      </c>
      <c r="H100" s="1">
        <v>2</v>
      </c>
      <c r="I100" s="1">
        <v>2</v>
      </c>
      <c r="J100" s="1">
        <v>2</v>
      </c>
      <c r="K100" s="1">
        <v>2</v>
      </c>
      <c r="L100" s="1">
        <v>2</v>
      </c>
      <c r="M100" s="1">
        <v>2</v>
      </c>
      <c r="N100" s="1">
        <v>2</v>
      </c>
      <c r="O100" s="1">
        <v>2</v>
      </c>
      <c r="P100" s="1">
        <v>2</v>
      </c>
      <c r="Q100" s="1">
        <v>0</v>
      </c>
      <c r="R100" s="1">
        <v>0</v>
      </c>
      <c r="S100" s="1">
        <v>22</v>
      </c>
      <c r="T100" s="1">
        <v>13</v>
      </c>
      <c r="U100" s="1">
        <v>9</v>
      </c>
    </row>
    <row r="101" spans="1:21" x14ac:dyDescent="0.2">
      <c r="A101" s="1">
        <v>2025</v>
      </c>
      <c r="B101" s="1">
        <v>97</v>
      </c>
      <c r="C101" s="1" t="s">
        <v>77</v>
      </c>
      <c r="D101" s="1" t="s">
        <v>0</v>
      </c>
      <c r="E101" s="1" t="s">
        <v>103</v>
      </c>
      <c r="F101" s="1">
        <v>2</v>
      </c>
      <c r="G101" s="1">
        <v>2</v>
      </c>
      <c r="H101" s="1">
        <v>3</v>
      </c>
      <c r="I101" s="1">
        <v>2</v>
      </c>
      <c r="J101" s="1">
        <v>2</v>
      </c>
      <c r="K101" s="1">
        <v>1</v>
      </c>
      <c r="L101" s="1">
        <v>1</v>
      </c>
      <c r="M101" s="1">
        <v>2</v>
      </c>
      <c r="N101" s="1">
        <v>2</v>
      </c>
      <c r="O101" s="1">
        <v>2</v>
      </c>
      <c r="P101" s="1">
        <v>2</v>
      </c>
      <c r="Q101" s="1">
        <v>2</v>
      </c>
      <c r="R101" s="1">
        <v>2</v>
      </c>
      <c r="S101" s="1">
        <v>25</v>
      </c>
      <c r="T101" s="1">
        <v>13</v>
      </c>
      <c r="U101" s="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C268-29D0-C043-86FD-A8FA9D45D34F}">
  <dimension ref="A1:N157"/>
  <sheetViews>
    <sheetView workbookViewId="0">
      <selection activeCell="K71" sqref="K71"/>
    </sheetView>
  </sheetViews>
  <sheetFormatPr baseColWidth="10" defaultRowHeight="15" x14ac:dyDescent="0.2"/>
  <cols>
    <col min="1" max="1" width="10.83203125" style="1"/>
    <col min="2" max="4" width="10.83203125" style="20"/>
    <col min="5" max="6" width="10.83203125" style="34"/>
    <col min="7" max="10" width="10.83203125" style="20"/>
    <col min="11" max="16384" width="10.83203125" style="1"/>
  </cols>
  <sheetData>
    <row r="1" spans="1:12" x14ac:dyDescent="0.2">
      <c r="A1" s="1" t="s">
        <v>58</v>
      </c>
      <c r="B1" s="20" t="s">
        <v>55</v>
      </c>
      <c r="C1" s="20" t="s">
        <v>86</v>
      </c>
      <c r="D1" s="20" t="s">
        <v>60</v>
      </c>
      <c r="E1" s="34" t="s">
        <v>147</v>
      </c>
      <c r="F1" s="34" t="s">
        <v>148</v>
      </c>
      <c r="G1" s="46" t="s">
        <v>263</v>
      </c>
      <c r="H1" s="46" t="s">
        <v>149</v>
      </c>
      <c r="I1" s="46" t="s">
        <v>150</v>
      </c>
      <c r="J1" s="46" t="s">
        <v>151</v>
      </c>
      <c r="K1" s="30" t="s">
        <v>91</v>
      </c>
      <c r="L1" s="47" t="s">
        <v>152</v>
      </c>
    </row>
    <row r="2" spans="1:12" x14ac:dyDescent="0.2">
      <c r="A2" s="1">
        <v>2024</v>
      </c>
      <c r="B2" s="25" t="s">
        <v>51</v>
      </c>
      <c r="C2" s="1" t="s">
        <v>103</v>
      </c>
      <c r="D2" s="25" t="s">
        <v>1</v>
      </c>
      <c r="E2" s="1">
        <v>80.3</v>
      </c>
      <c r="F2" s="1">
        <v>170.5</v>
      </c>
      <c r="G2" s="1">
        <f t="shared" ref="G2:G45" si="0">E2/((F2/100)*(F2/100))</f>
        <v>27.622741462491717</v>
      </c>
      <c r="H2" s="48">
        <v>87</v>
      </c>
      <c r="I2" s="48">
        <v>138</v>
      </c>
      <c r="J2" s="48">
        <v>91</v>
      </c>
      <c r="K2" s="30">
        <v>1</v>
      </c>
    </row>
    <row r="3" spans="1:12" x14ac:dyDescent="0.2">
      <c r="A3" s="1">
        <v>2024</v>
      </c>
      <c r="B3" s="25" t="s">
        <v>38</v>
      </c>
      <c r="C3" s="1" t="s">
        <v>111</v>
      </c>
      <c r="D3" s="25" t="s">
        <v>1</v>
      </c>
      <c r="E3" s="33">
        <v>72.5</v>
      </c>
      <c r="F3" s="49">
        <v>160</v>
      </c>
      <c r="G3" s="1">
        <f t="shared" si="0"/>
        <v>28.320312499999993</v>
      </c>
      <c r="H3" s="48">
        <v>89</v>
      </c>
      <c r="I3" s="48">
        <v>142</v>
      </c>
      <c r="J3" s="48">
        <v>82</v>
      </c>
      <c r="K3" s="30">
        <v>0</v>
      </c>
    </row>
    <row r="4" spans="1:12" x14ac:dyDescent="0.2">
      <c r="A4" s="1">
        <v>2024</v>
      </c>
      <c r="B4" s="25" t="s">
        <v>37</v>
      </c>
      <c r="C4" s="1" t="s">
        <v>103</v>
      </c>
      <c r="D4" s="25" t="s">
        <v>1</v>
      </c>
      <c r="E4" s="33">
        <v>55.5</v>
      </c>
      <c r="F4" s="33">
        <v>160</v>
      </c>
      <c r="G4" s="1">
        <f t="shared" si="0"/>
        <v>21.679687499999996</v>
      </c>
      <c r="H4" s="48">
        <v>80</v>
      </c>
      <c r="I4" s="48">
        <v>129</v>
      </c>
      <c r="J4" s="48">
        <v>63</v>
      </c>
      <c r="K4" s="30">
        <v>0</v>
      </c>
    </row>
    <row r="5" spans="1:12" x14ac:dyDescent="0.2">
      <c r="A5" s="1">
        <v>2024</v>
      </c>
      <c r="B5" s="25" t="s">
        <v>36</v>
      </c>
      <c r="C5" s="1" t="s">
        <v>111</v>
      </c>
      <c r="D5" s="25" t="s">
        <v>1</v>
      </c>
      <c r="E5" s="33">
        <v>75</v>
      </c>
      <c r="F5" s="33">
        <v>175</v>
      </c>
      <c r="G5" s="1">
        <f t="shared" si="0"/>
        <v>24.489795918367346</v>
      </c>
      <c r="H5" s="48">
        <v>79</v>
      </c>
      <c r="I5" s="48">
        <v>126</v>
      </c>
      <c r="J5" s="48">
        <v>84</v>
      </c>
      <c r="K5" s="30">
        <v>0</v>
      </c>
    </row>
    <row r="6" spans="1:12" x14ac:dyDescent="0.2">
      <c r="A6" s="1">
        <v>2024</v>
      </c>
      <c r="B6" s="20" t="s">
        <v>50</v>
      </c>
      <c r="C6" s="1" t="s">
        <v>111</v>
      </c>
      <c r="D6" s="25" t="s">
        <v>1</v>
      </c>
      <c r="E6" s="1">
        <v>65.8</v>
      </c>
      <c r="F6" s="1">
        <v>165.6</v>
      </c>
      <c r="G6" s="1">
        <f t="shared" si="0"/>
        <v>23.994142220355201</v>
      </c>
      <c r="H6" s="48">
        <v>80</v>
      </c>
      <c r="I6" s="48">
        <v>145</v>
      </c>
      <c r="J6" s="48">
        <v>95</v>
      </c>
      <c r="K6" s="30">
        <v>1</v>
      </c>
    </row>
    <row r="7" spans="1:12" x14ac:dyDescent="0.2">
      <c r="A7" s="1">
        <v>2024</v>
      </c>
      <c r="B7" s="20" t="s">
        <v>35</v>
      </c>
      <c r="C7" s="1" t="s">
        <v>111</v>
      </c>
      <c r="D7" s="25" t="s">
        <v>1</v>
      </c>
      <c r="E7" s="33">
        <v>82.8</v>
      </c>
      <c r="F7" s="33">
        <v>174.6</v>
      </c>
      <c r="G7" s="1">
        <f t="shared" si="0"/>
        <v>27.160756249926195</v>
      </c>
      <c r="H7" s="48">
        <v>90.6</v>
      </c>
      <c r="I7" s="48">
        <v>156</v>
      </c>
      <c r="J7" s="48">
        <v>96</v>
      </c>
      <c r="K7" s="30">
        <v>0</v>
      </c>
    </row>
    <row r="8" spans="1:12" x14ac:dyDescent="0.2">
      <c r="A8" s="1">
        <v>2024</v>
      </c>
      <c r="B8" s="20" t="s">
        <v>34</v>
      </c>
      <c r="C8" s="1" t="s">
        <v>111</v>
      </c>
      <c r="D8" s="25" t="s">
        <v>1</v>
      </c>
      <c r="E8" s="33">
        <v>104.5</v>
      </c>
      <c r="F8" s="33">
        <v>160.6</v>
      </c>
      <c r="G8" s="1">
        <f t="shared" si="0"/>
        <v>40.515873692829977</v>
      </c>
      <c r="H8" s="48">
        <v>112</v>
      </c>
      <c r="I8" s="48">
        <v>142</v>
      </c>
      <c r="J8" s="48">
        <v>90</v>
      </c>
      <c r="K8" s="30">
        <v>0</v>
      </c>
    </row>
    <row r="9" spans="1:12" x14ac:dyDescent="0.2">
      <c r="A9" s="1">
        <v>2024</v>
      </c>
      <c r="B9" s="34" t="s">
        <v>33</v>
      </c>
      <c r="C9" s="35" t="s">
        <v>103</v>
      </c>
      <c r="D9" s="25" t="s">
        <v>1</v>
      </c>
      <c r="E9" s="33">
        <v>89.5</v>
      </c>
      <c r="F9" s="33">
        <v>171.8</v>
      </c>
      <c r="G9" s="1">
        <f t="shared" si="0"/>
        <v>30.323317716542363</v>
      </c>
      <c r="H9" s="48">
        <v>103</v>
      </c>
      <c r="I9" s="48">
        <v>119</v>
      </c>
      <c r="J9" s="48">
        <v>77</v>
      </c>
      <c r="K9" s="30">
        <v>0</v>
      </c>
    </row>
    <row r="10" spans="1:12" x14ac:dyDescent="0.2">
      <c r="A10" s="1">
        <v>2024</v>
      </c>
      <c r="B10" s="20" t="s">
        <v>32</v>
      </c>
      <c r="C10" s="1" t="s">
        <v>103</v>
      </c>
      <c r="D10" s="25" t="s">
        <v>1</v>
      </c>
      <c r="E10" s="33">
        <v>51.5</v>
      </c>
      <c r="F10" s="33">
        <v>167.4</v>
      </c>
      <c r="G10" s="1">
        <f t="shared" si="0"/>
        <v>18.377918520516893</v>
      </c>
      <c r="H10" s="48">
        <v>60.6</v>
      </c>
      <c r="I10" s="48">
        <v>89</v>
      </c>
      <c r="J10" s="48">
        <v>63</v>
      </c>
      <c r="K10" s="30">
        <v>0</v>
      </c>
    </row>
    <row r="11" spans="1:12" x14ac:dyDescent="0.2">
      <c r="A11" s="1">
        <v>2024</v>
      </c>
      <c r="B11" s="20" t="s">
        <v>31</v>
      </c>
      <c r="C11" s="1" t="s">
        <v>103</v>
      </c>
      <c r="D11" s="25" t="s">
        <v>1</v>
      </c>
      <c r="E11" s="33">
        <v>86.5</v>
      </c>
      <c r="F11" s="33">
        <v>162.5</v>
      </c>
      <c r="G11" s="1">
        <f t="shared" si="0"/>
        <v>32.757396449704139</v>
      </c>
      <c r="H11" s="48">
        <v>96</v>
      </c>
      <c r="I11" s="48">
        <v>116</v>
      </c>
      <c r="J11" s="48">
        <v>73</v>
      </c>
      <c r="K11" s="30">
        <v>0</v>
      </c>
    </row>
    <row r="12" spans="1:12" x14ac:dyDescent="0.2">
      <c r="A12" s="1">
        <v>2024</v>
      </c>
      <c r="B12" s="25" t="s">
        <v>30</v>
      </c>
      <c r="C12" s="1" t="s">
        <v>111</v>
      </c>
      <c r="D12" s="25" t="s">
        <v>1</v>
      </c>
      <c r="E12" s="33">
        <v>83.8</v>
      </c>
      <c r="F12" s="33">
        <v>172.5</v>
      </c>
      <c r="G12" s="1">
        <f t="shared" si="0"/>
        <v>28.162150808653639</v>
      </c>
      <c r="H12" s="48">
        <v>107</v>
      </c>
      <c r="I12" s="48">
        <v>135</v>
      </c>
      <c r="J12" s="48">
        <v>69</v>
      </c>
      <c r="K12" s="30">
        <v>0</v>
      </c>
    </row>
    <row r="13" spans="1:12" x14ac:dyDescent="0.2">
      <c r="A13" s="1">
        <v>2024</v>
      </c>
      <c r="B13" s="25" t="s">
        <v>29</v>
      </c>
      <c r="C13" s="1" t="s">
        <v>111</v>
      </c>
      <c r="D13" s="25" t="s">
        <v>1</v>
      </c>
      <c r="E13" s="33">
        <v>78.900000000000006</v>
      </c>
      <c r="F13" s="33">
        <v>178.5</v>
      </c>
      <c r="G13" s="1">
        <f t="shared" si="0"/>
        <v>24.76284631499659</v>
      </c>
      <c r="H13" s="48">
        <v>93</v>
      </c>
      <c r="I13" s="48">
        <v>114</v>
      </c>
      <c r="J13" s="48">
        <v>66</v>
      </c>
      <c r="K13" s="30">
        <v>0</v>
      </c>
    </row>
    <row r="14" spans="1:12" x14ac:dyDescent="0.2">
      <c r="A14" s="1">
        <v>2024</v>
      </c>
      <c r="B14" s="20" t="s">
        <v>28</v>
      </c>
      <c r="C14" s="1" t="s">
        <v>111</v>
      </c>
      <c r="D14" s="25" t="s">
        <v>1</v>
      </c>
      <c r="E14" s="33">
        <v>84.8</v>
      </c>
      <c r="F14" s="33">
        <v>179.3</v>
      </c>
      <c r="G14" s="1">
        <f t="shared" si="0"/>
        <v>26.377599694417992</v>
      </c>
      <c r="H14" s="48">
        <v>97</v>
      </c>
      <c r="I14" s="48">
        <v>128</v>
      </c>
      <c r="J14" s="48">
        <v>80</v>
      </c>
      <c r="K14" s="30">
        <v>0</v>
      </c>
    </row>
    <row r="15" spans="1:12" x14ac:dyDescent="0.2">
      <c r="A15" s="1">
        <v>2024</v>
      </c>
      <c r="B15" s="20" t="s">
        <v>27</v>
      </c>
      <c r="C15" s="1" t="s">
        <v>103</v>
      </c>
      <c r="D15" s="25" t="s">
        <v>1</v>
      </c>
      <c r="E15" s="33">
        <v>91.6</v>
      </c>
      <c r="F15" s="33">
        <v>171.4</v>
      </c>
      <c r="G15" s="1">
        <f t="shared" si="0"/>
        <v>31.179836857290294</v>
      </c>
      <c r="H15" s="48">
        <v>115</v>
      </c>
      <c r="I15" s="48">
        <v>133</v>
      </c>
      <c r="J15" s="48">
        <v>83</v>
      </c>
      <c r="K15" s="30">
        <v>0</v>
      </c>
    </row>
    <row r="16" spans="1:12" x14ac:dyDescent="0.2">
      <c r="A16" s="1">
        <v>2024</v>
      </c>
      <c r="B16" s="20" t="s">
        <v>26</v>
      </c>
      <c r="C16" s="1" t="s">
        <v>111</v>
      </c>
      <c r="D16" s="25" t="s">
        <v>1</v>
      </c>
      <c r="E16" s="33">
        <v>95</v>
      </c>
      <c r="F16" s="33">
        <v>186.2</v>
      </c>
      <c r="G16" s="1">
        <f t="shared" si="0"/>
        <v>27.400863675223047</v>
      </c>
      <c r="H16" s="48">
        <v>100</v>
      </c>
      <c r="I16" s="48">
        <v>140</v>
      </c>
      <c r="J16" s="48">
        <v>93</v>
      </c>
      <c r="K16" s="30">
        <v>0</v>
      </c>
    </row>
    <row r="17" spans="1:11" x14ac:dyDescent="0.2">
      <c r="A17" s="1">
        <v>2024</v>
      </c>
      <c r="B17" s="20" t="s">
        <v>24</v>
      </c>
      <c r="C17" s="1" t="s">
        <v>103</v>
      </c>
      <c r="D17" s="25" t="s">
        <v>1</v>
      </c>
      <c r="E17" s="1">
        <v>77.599999999999994</v>
      </c>
      <c r="F17" s="1">
        <v>178.9</v>
      </c>
      <c r="G17" s="1">
        <f t="shared" si="0"/>
        <v>24.246052439587174</v>
      </c>
      <c r="H17" s="48">
        <v>99</v>
      </c>
      <c r="I17" s="48">
        <v>128</v>
      </c>
      <c r="J17" s="48">
        <v>79</v>
      </c>
      <c r="K17" s="30">
        <v>0</v>
      </c>
    </row>
    <row r="18" spans="1:11" x14ac:dyDescent="0.2">
      <c r="A18" s="1">
        <v>2024</v>
      </c>
      <c r="B18" s="25" t="s">
        <v>49</v>
      </c>
      <c r="C18" s="1" t="s">
        <v>111</v>
      </c>
      <c r="D18" s="25" t="s">
        <v>1</v>
      </c>
      <c r="E18" s="33">
        <v>73</v>
      </c>
      <c r="F18" s="33">
        <v>167.1</v>
      </c>
      <c r="G18" s="1">
        <f t="shared" si="0"/>
        <v>26.143875116796863</v>
      </c>
      <c r="H18" s="48">
        <v>91</v>
      </c>
      <c r="I18" s="48">
        <v>129</v>
      </c>
      <c r="J18" s="48">
        <v>87</v>
      </c>
      <c r="K18" s="30">
        <v>1</v>
      </c>
    </row>
    <row r="19" spans="1:11" x14ac:dyDescent="0.2">
      <c r="A19" s="1">
        <v>2024</v>
      </c>
      <c r="B19" s="20" t="s">
        <v>23</v>
      </c>
      <c r="C19" s="1" t="s">
        <v>103</v>
      </c>
      <c r="D19" s="25" t="s">
        <v>1</v>
      </c>
      <c r="E19" s="33">
        <v>55.6</v>
      </c>
      <c r="F19" s="33">
        <v>158.1</v>
      </c>
      <c r="G19" s="1">
        <f t="shared" si="0"/>
        <v>22.243906029898852</v>
      </c>
      <c r="H19" s="48">
        <v>78</v>
      </c>
      <c r="I19" s="48">
        <v>109</v>
      </c>
      <c r="J19" s="48">
        <v>69</v>
      </c>
      <c r="K19" s="30">
        <v>0</v>
      </c>
    </row>
    <row r="20" spans="1:11" x14ac:dyDescent="0.2">
      <c r="A20" s="1">
        <v>2024</v>
      </c>
      <c r="B20" s="20" t="s">
        <v>48</v>
      </c>
      <c r="C20" s="1" t="s">
        <v>111</v>
      </c>
      <c r="D20" s="25" t="s">
        <v>1</v>
      </c>
      <c r="E20" s="33">
        <v>78.2</v>
      </c>
      <c r="F20" s="33">
        <v>156.5</v>
      </c>
      <c r="G20" s="1">
        <f t="shared" si="0"/>
        <v>31.928467168185858</v>
      </c>
      <c r="H20" s="48">
        <v>95</v>
      </c>
      <c r="I20" s="48">
        <v>126</v>
      </c>
      <c r="J20" s="48">
        <v>78</v>
      </c>
      <c r="K20" s="30">
        <v>1</v>
      </c>
    </row>
    <row r="21" spans="1:11" x14ac:dyDescent="0.2">
      <c r="A21" s="1">
        <v>2024</v>
      </c>
      <c r="B21" s="20" t="s">
        <v>22</v>
      </c>
      <c r="C21" s="1" t="s">
        <v>103</v>
      </c>
      <c r="D21" s="25" t="s">
        <v>1</v>
      </c>
      <c r="E21" s="33">
        <v>57.7</v>
      </c>
      <c r="F21" s="33">
        <v>163.5</v>
      </c>
      <c r="G21" s="1">
        <f t="shared" si="0"/>
        <v>21.584415827324676</v>
      </c>
      <c r="H21" s="48">
        <v>80</v>
      </c>
      <c r="I21" s="48">
        <v>111</v>
      </c>
      <c r="J21" s="48">
        <v>69</v>
      </c>
      <c r="K21" s="30">
        <v>0</v>
      </c>
    </row>
    <row r="22" spans="1:11" x14ac:dyDescent="0.2">
      <c r="A22" s="1">
        <v>2024</v>
      </c>
      <c r="B22" s="20" t="s">
        <v>21</v>
      </c>
      <c r="C22" s="1" t="s">
        <v>111</v>
      </c>
      <c r="D22" s="25" t="s">
        <v>1</v>
      </c>
      <c r="E22" s="33">
        <v>73.599999999999994</v>
      </c>
      <c r="F22" s="33">
        <v>170</v>
      </c>
      <c r="G22" s="1">
        <f t="shared" si="0"/>
        <v>25.46712802768166</v>
      </c>
      <c r="H22" s="48">
        <v>98</v>
      </c>
      <c r="I22" s="48">
        <v>116</v>
      </c>
      <c r="J22" s="48">
        <v>66</v>
      </c>
      <c r="K22" s="30">
        <v>0</v>
      </c>
    </row>
    <row r="23" spans="1:11" x14ac:dyDescent="0.2">
      <c r="A23" s="1">
        <v>2024</v>
      </c>
      <c r="B23" s="20" t="s">
        <v>47</v>
      </c>
      <c r="C23" s="1" t="s">
        <v>103</v>
      </c>
      <c r="D23" s="25" t="s">
        <v>1</v>
      </c>
      <c r="E23" s="33">
        <v>92</v>
      </c>
      <c r="F23" s="33">
        <v>176</v>
      </c>
      <c r="G23" s="1">
        <f t="shared" si="0"/>
        <v>29.700413223140497</v>
      </c>
      <c r="H23" s="48">
        <v>101</v>
      </c>
      <c r="I23" s="48">
        <v>116</v>
      </c>
      <c r="J23" s="48">
        <v>73</v>
      </c>
      <c r="K23" s="30">
        <v>1</v>
      </c>
    </row>
    <row r="24" spans="1:11" x14ac:dyDescent="0.2">
      <c r="A24" s="1">
        <v>2024</v>
      </c>
      <c r="B24" s="20" t="s">
        <v>19</v>
      </c>
      <c r="C24" s="1" t="s">
        <v>111</v>
      </c>
      <c r="D24" s="25" t="s">
        <v>1</v>
      </c>
      <c r="E24" s="26">
        <v>86.3</v>
      </c>
      <c r="F24" s="26">
        <v>179</v>
      </c>
      <c r="G24" s="26">
        <f t="shared" si="0"/>
        <v>26.934240504353795</v>
      </c>
      <c r="H24" s="50">
        <v>104</v>
      </c>
      <c r="I24" s="48">
        <v>105</v>
      </c>
      <c r="J24" s="48">
        <v>68</v>
      </c>
      <c r="K24" s="30">
        <v>0</v>
      </c>
    </row>
    <row r="25" spans="1:11" x14ac:dyDescent="0.2">
      <c r="A25" s="1">
        <v>2024</v>
      </c>
      <c r="B25" s="25" t="s">
        <v>18</v>
      </c>
      <c r="C25" s="1" t="s">
        <v>111</v>
      </c>
      <c r="D25" s="25" t="s">
        <v>1</v>
      </c>
      <c r="E25" s="33">
        <v>90.8</v>
      </c>
      <c r="F25" s="33">
        <v>152.5</v>
      </c>
      <c r="G25" s="1">
        <f t="shared" si="0"/>
        <v>39.043267938726153</v>
      </c>
      <c r="H25" s="48">
        <v>126</v>
      </c>
      <c r="I25" s="48">
        <v>141</v>
      </c>
      <c r="J25" s="48">
        <v>78</v>
      </c>
      <c r="K25" s="30">
        <v>0</v>
      </c>
    </row>
    <row r="26" spans="1:11" x14ac:dyDescent="0.2">
      <c r="A26" s="1">
        <v>2024</v>
      </c>
      <c r="B26" s="20" t="s">
        <v>17</v>
      </c>
      <c r="C26" s="1" t="s">
        <v>111</v>
      </c>
      <c r="D26" s="25" t="s">
        <v>1</v>
      </c>
      <c r="E26" s="1">
        <v>79</v>
      </c>
      <c r="F26" s="1">
        <v>168.4</v>
      </c>
      <c r="G26" s="1">
        <f t="shared" si="0"/>
        <v>27.857549889698202</v>
      </c>
      <c r="H26" s="48">
        <v>93</v>
      </c>
      <c r="I26" s="48">
        <v>120</v>
      </c>
      <c r="J26" s="48">
        <v>75</v>
      </c>
      <c r="K26" s="30">
        <v>0</v>
      </c>
    </row>
    <row r="27" spans="1:11" x14ac:dyDescent="0.2">
      <c r="A27" s="1">
        <v>2024</v>
      </c>
      <c r="B27" s="20" t="s">
        <v>16</v>
      </c>
      <c r="C27" s="1" t="s">
        <v>103</v>
      </c>
      <c r="D27" s="25" t="s">
        <v>1</v>
      </c>
      <c r="E27" s="33">
        <v>58.3</v>
      </c>
      <c r="F27" s="33">
        <v>167.8</v>
      </c>
      <c r="G27" s="1">
        <f t="shared" si="0"/>
        <v>20.705448480724396</v>
      </c>
      <c r="H27" s="48">
        <v>78</v>
      </c>
      <c r="I27" s="48">
        <v>172</v>
      </c>
      <c r="J27" s="48">
        <v>90</v>
      </c>
      <c r="K27" s="30">
        <v>0</v>
      </c>
    </row>
    <row r="28" spans="1:11" x14ac:dyDescent="0.2">
      <c r="A28" s="1">
        <v>2024</v>
      </c>
      <c r="B28" s="20" t="s">
        <v>46</v>
      </c>
      <c r="C28" s="1" t="s">
        <v>111</v>
      </c>
      <c r="D28" s="25" t="s">
        <v>1</v>
      </c>
      <c r="E28" s="33">
        <v>114.8</v>
      </c>
      <c r="F28" s="33">
        <v>181.5</v>
      </c>
      <c r="G28" s="1">
        <f t="shared" si="0"/>
        <v>34.848864300404493</v>
      </c>
      <c r="H28" s="48">
        <v>116</v>
      </c>
      <c r="I28" s="48">
        <v>119</v>
      </c>
      <c r="J28" s="48">
        <v>63</v>
      </c>
      <c r="K28" s="30">
        <v>1</v>
      </c>
    </row>
    <row r="29" spans="1:11" x14ac:dyDescent="0.2">
      <c r="A29" s="1">
        <v>2024</v>
      </c>
      <c r="B29" s="20" t="s">
        <v>45</v>
      </c>
      <c r="C29" s="1" t="s">
        <v>111</v>
      </c>
      <c r="D29" s="25" t="s">
        <v>1</v>
      </c>
      <c r="E29" s="33">
        <v>93.6</v>
      </c>
      <c r="F29" s="33">
        <v>175</v>
      </c>
      <c r="G29" s="1">
        <f t="shared" si="0"/>
        <v>30.563265306122446</v>
      </c>
      <c r="H29" s="48">
        <v>106</v>
      </c>
      <c r="I29" s="48">
        <v>153</v>
      </c>
      <c r="J29" s="48">
        <v>86</v>
      </c>
      <c r="K29" s="30">
        <v>1</v>
      </c>
    </row>
    <row r="30" spans="1:11" x14ac:dyDescent="0.2">
      <c r="A30" s="1">
        <v>2024</v>
      </c>
      <c r="B30" s="20" t="s">
        <v>14</v>
      </c>
      <c r="C30" s="1" t="s">
        <v>103</v>
      </c>
      <c r="D30" s="25" t="s">
        <v>1</v>
      </c>
      <c r="E30" s="1">
        <v>114.9</v>
      </c>
      <c r="F30" s="1">
        <v>186</v>
      </c>
      <c r="G30" s="1">
        <f t="shared" si="0"/>
        <v>33.21193201526188</v>
      </c>
      <c r="H30" s="48">
        <v>122</v>
      </c>
      <c r="I30" s="48">
        <v>147</v>
      </c>
      <c r="J30" s="48">
        <v>94</v>
      </c>
      <c r="K30" s="30">
        <v>0</v>
      </c>
    </row>
    <row r="31" spans="1:11" x14ac:dyDescent="0.2">
      <c r="A31" s="1">
        <v>2024</v>
      </c>
      <c r="B31" s="20" t="s">
        <v>13</v>
      </c>
      <c r="C31" s="35" t="s">
        <v>111</v>
      </c>
      <c r="D31" s="25" t="s">
        <v>1</v>
      </c>
      <c r="E31" s="33">
        <v>84.1</v>
      </c>
      <c r="F31" s="33">
        <v>173</v>
      </c>
      <c r="G31" s="1">
        <f t="shared" si="0"/>
        <v>28.09983627919409</v>
      </c>
      <c r="H31" s="48">
        <v>97</v>
      </c>
      <c r="I31" s="48">
        <v>123</v>
      </c>
      <c r="J31" s="48">
        <v>71</v>
      </c>
      <c r="K31" s="30">
        <v>0</v>
      </c>
    </row>
    <row r="32" spans="1:11" x14ac:dyDescent="0.2">
      <c r="A32" s="1">
        <v>2024</v>
      </c>
      <c r="B32" s="20" t="s">
        <v>12</v>
      </c>
      <c r="C32" s="1" t="s">
        <v>103</v>
      </c>
      <c r="D32" s="25" t="s">
        <v>1</v>
      </c>
      <c r="E32" s="1">
        <v>79.099999999999994</v>
      </c>
      <c r="F32" s="1">
        <v>168.9</v>
      </c>
      <c r="G32" s="1">
        <f t="shared" si="0"/>
        <v>27.72791310471651</v>
      </c>
      <c r="H32" s="48">
        <v>93</v>
      </c>
      <c r="I32" s="48">
        <v>135</v>
      </c>
      <c r="J32" s="48">
        <v>84</v>
      </c>
      <c r="K32" s="30">
        <v>0</v>
      </c>
    </row>
    <row r="33" spans="1:14" x14ac:dyDescent="0.2">
      <c r="A33" s="1">
        <v>2024</v>
      </c>
      <c r="B33" s="20" t="s">
        <v>43</v>
      </c>
      <c r="C33" s="1" t="s">
        <v>103</v>
      </c>
      <c r="D33" s="25" t="s">
        <v>1</v>
      </c>
      <c r="E33" s="33">
        <v>108.4</v>
      </c>
      <c r="F33" s="33">
        <v>168.2</v>
      </c>
      <c r="G33" s="1">
        <f t="shared" si="0"/>
        <v>38.315747206555812</v>
      </c>
      <c r="H33" s="48">
        <v>127</v>
      </c>
      <c r="I33" s="48">
        <v>149</v>
      </c>
      <c r="J33" s="48">
        <v>90</v>
      </c>
      <c r="K33" s="30">
        <v>1</v>
      </c>
    </row>
    <row r="34" spans="1:14" x14ac:dyDescent="0.2">
      <c r="A34" s="1">
        <v>2024</v>
      </c>
      <c r="B34" s="20" t="s">
        <v>11</v>
      </c>
      <c r="C34" s="1" t="s">
        <v>103</v>
      </c>
      <c r="D34" s="25" t="s">
        <v>1</v>
      </c>
      <c r="E34" s="33">
        <v>95.8</v>
      </c>
      <c r="F34" s="33">
        <v>165</v>
      </c>
      <c r="G34" s="1">
        <f t="shared" si="0"/>
        <v>35.188246097337007</v>
      </c>
      <c r="H34" s="48">
        <v>111</v>
      </c>
      <c r="I34" s="48">
        <v>132</v>
      </c>
      <c r="J34" s="48">
        <v>76</v>
      </c>
      <c r="K34" s="30">
        <v>0</v>
      </c>
    </row>
    <row r="35" spans="1:14" x14ac:dyDescent="0.2">
      <c r="A35" s="1">
        <v>2024</v>
      </c>
      <c r="B35" s="20" t="s">
        <v>10</v>
      </c>
      <c r="C35" s="1" t="s">
        <v>111</v>
      </c>
      <c r="D35" s="25" t="s">
        <v>1</v>
      </c>
      <c r="E35" s="33">
        <v>64.599999999999994</v>
      </c>
      <c r="F35" s="33">
        <v>161.19999999999999</v>
      </c>
      <c r="G35" s="1">
        <f t="shared" si="0"/>
        <v>24.860075488427366</v>
      </c>
      <c r="H35" s="48">
        <v>80</v>
      </c>
      <c r="I35" s="48">
        <v>137</v>
      </c>
      <c r="J35" s="48">
        <v>81</v>
      </c>
      <c r="K35" s="30">
        <v>0</v>
      </c>
    </row>
    <row r="36" spans="1:14" x14ac:dyDescent="0.2">
      <c r="A36" s="1">
        <v>2024</v>
      </c>
      <c r="B36" s="20" t="s">
        <v>41</v>
      </c>
      <c r="C36" s="1" t="s">
        <v>103</v>
      </c>
      <c r="D36" s="25" t="s">
        <v>1</v>
      </c>
      <c r="E36" s="30">
        <v>80.099999999999994</v>
      </c>
      <c r="F36" s="30">
        <v>169.5</v>
      </c>
      <c r="G36" s="1">
        <f t="shared" si="0"/>
        <v>27.88002192810713</v>
      </c>
      <c r="H36" s="51">
        <v>0</v>
      </c>
      <c r="I36" s="48">
        <v>0</v>
      </c>
      <c r="J36" s="48">
        <v>0</v>
      </c>
      <c r="K36" s="30">
        <v>1</v>
      </c>
    </row>
    <row r="37" spans="1:14" x14ac:dyDescent="0.2">
      <c r="A37" s="1">
        <v>2024</v>
      </c>
      <c r="B37" s="20" t="s">
        <v>9</v>
      </c>
      <c r="C37" s="1" t="s">
        <v>103</v>
      </c>
      <c r="D37" s="25" t="s">
        <v>1</v>
      </c>
      <c r="E37" s="1">
        <v>64.8</v>
      </c>
      <c r="F37" s="1">
        <v>173.8</v>
      </c>
      <c r="G37" s="1">
        <f t="shared" si="0"/>
        <v>21.452379029107693</v>
      </c>
      <c r="H37" s="48">
        <v>75</v>
      </c>
      <c r="I37" s="48">
        <v>166</v>
      </c>
      <c r="J37" s="48">
        <v>83</v>
      </c>
      <c r="K37" s="30">
        <v>0</v>
      </c>
    </row>
    <row r="38" spans="1:14" x14ac:dyDescent="0.2">
      <c r="A38" s="1">
        <v>2024</v>
      </c>
      <c r="B38" s="20" t="s">
        <v>8</v>
      </c>
      <c r="C38" s="1" t="s">
        <v>111</v>
      </c>
      <c r="D38" s="25" t="s">
        <v>1</v>
      </c>
      <c r="E38" s="33">
        <v>66.7</v>
      </c>
      <c r="F38" s="33">
        <v>170</v>
      </c>
      <c r="G38" s="1">
        <f t="shared" si="0"/>
        <v>23.079584775086509</v>
      </c>
      <c r="H38" s="48">
        <v>83</v>
      </c>
      <c r="I38" s="48">
        <v>112</v>
      </c>
      <c r="J38" s="48">
        <v>67</v>
      </c>
      <c r="K38" s="30">
        <v>0</v>
      </c>
    </row>
    <row r="39" spans="1:14" x14ac:dyDescent="0.2">
      <c r="A39" s="1">
        <v>2024</v>
      </c>
      <c r="B39" s="20" t="s">
        <v>7</v>
      </c>
      <c r="C39" s="1" t="s">
        <v>111</v>
      </c>
      <c r="D39" s="25" t="s">
        <v>1</v>
      </c>
      <c r="E39" s="33">
        <v>57.4</v>
      </c>
      <c r="F39" s="33">
        <v>156.5</v>
      </c>
      <c r="G39" s="1">
        <f t="shared" si="0"/>
        <v>23.435984852351254</v>
      </c>
      <c r="H39" s="48" t="s">
        <v>153</v>
      </c>
      <c r="I39" s="48">
        <v>129</v>
      </c>
      <c r="J39" s="48">
        <v>74</v>
      </c>
      <c r="K39" s="30">
        <v>0</v>
      </c>
    </row>
    <row r="40" spans="1:14" x14ac:dyDescent="0.2">
      <c r="A40" s="1">
        <v>2024</v>
      </c>
      <c r="B40" s="20" t="s">
        <v>40</v>
      </c>
      <c r="C40" s="1" t="s">
        <v>111</v>
      </c>
      <c r="D40" s="25" t="s">
        <v>1</v>
      </c>
      <c r="E40" s="33">
        <v>61.9</v>
      </c>
      <c r="F40" s="33">
        <v>173</v>
      </c>
      <c r="G40" s="1">
        <f t="shared" si="0"/>
        <v>20.682281399311702</v>
      </c>
      <c r="H40" s="48">
        <v>83</v>
      </c>
      <c r="I40" s="48">
        <v>115</v>
      </c>
      <c r="J40" s="48">
        <v>74</v>
      </c>
      <c r="K40" s="30">
        <v>1</v>
      </c>
    </row>
    <row r="41" spans="1:14" x14ac:dyDescent="0.2">
      <c r="A41" s="1">
        <v>2024</v>
      </c>
      <c r="B41" s="20" t="s">
        <v>6</v>
      </c>
      <c r="C41" s="1" t="s">
        <v>103</v>
      </c>
      <c r="D41" s="25" t="s">
        <v>1</v>
      </c>
      <c r="E41" s="33">
        <v>72.5</v>
      </c>
      <c r="F41" s="33">
        <v>171.7</v>
      </c>
      <c r="G41" s="1">
        <f t="shared" si="0"/>
        <v>24.592201931488503</v>
      </c>
      <c r="H41" s="48">
        <v>81</v>
      </c>
      <c r="I41" s="48">
        <v>119</v>
      </c>
      <c r="J41" s="48">
        <v>71</v>
      </c>
      <c r="K41" s="30">
        <v>0</v>
      </c>
    </row>
    <row r="42" spans="1:14" x14ac:dyDescent="0.2">
      <c r="A42" s="1">
        <v>2024</v>
      </c>
      <c r="B42" s="20" t="s">
        <v>5</v>
      </c>
      <c r="C42" s="1" t="s">
        <v>111</v>
      </c>
      <c r="D42" s="25" t="s">
        <v>1</v>
      </c>
      <c r="E42" s="33">
        <v>75.400000000000006</v>
      </c>
      <c r="F42" s="33">
        <v>171</v>
      </c>
      <c r="G42" s="1">
        <f t="shared" si="0"/>
        <v>25.785711842960232</v>
      </c>
      <c r="H42" s="48">
        <v>90</v>
      </c>
      <c r="I42" s="48">
        <v>119</v>
      </c>
      <c r="J42" s="48">
        <v>75</v>
      </c>
      <c r="K42" s="30">
        <v>0</v>
      </c>
    </row>
    <row r="43" spans="1:14" x14ac:dyDescent="0.2">
      <c r="A43" s="1">
        <v>2024</v>
      </c>
      <c r="B43" s="20" t="s">
        <v>4</v>
      </c>
      <c r="C43" s="1" t="s">
        <v>111</v>
      </c>
      <c r="D43" s="25" t="s">
        <v>1</v>
      </c>
      <c r="E43" s="1">
        <v>74.5</v>
      </c>
      <c r="F43" s="1">
        <v>168</v>
      </c>
      <c r="G43" s="1">
        <f t="shared" si="0"/>
        <v>26.395975056689345</v>
      </c>
      <c r="H43" s="48">
        <v>87</v>
      </c>
      <c r="I43" s="48">
        <v>109</v>
      </c>
      <c r="J43" s="48">
        <v>72</v>
      </c>
      <c r="K43" s="1">
        <v>0</v>
      </c>
      <c r="L43" s="30" t="s">
        <v>154</v>
      </c>
    </row>
    <row r="44" spans="1:14" x14ac:dyDescent="0.2">
      <c r="A44" s="1">
        <v>2024</v>
      </c>
      <c r="B44" s="20" t="s">
        <v>3</v>
      </c>
      <c r="C44" s="1" t="s">
        <v>103</v>
      </c>
      <c r="D44" s="25" t="s">
        <v>1</v>
      </c>
      <c r="E44" s="1">
        <v>54.7</v>
      </c>
      <c r="F44" s="1">
        <v>156.30000000000001</v>
      </c>
      <c r="G44" s="1">
        <f t="shared" si="0"/>
        <v>22.390787603117349</v>
      </c>
      <c r="H44" s="48">
        <v>78</v>
      </c>
      <c r="I44" s="48">
        <v>107</v>
      </c>
      <c r="J44" s="48">
        <v>64</v>
      </c>
      <c r="K44" s="30">
        <v>0</v>
      </c>
    </row>
    <row r="45" spans="1:14" ht="16" thickBot="1" x14ac:dyDescent="0.25">
      <c r="A45" s="87">
        <v>2024</v>
      </c>
      <c r="B45" s="88" t="s">
        <v>2</v>
      </c>
      <c r="C45" s="87" t="s">
        <v>103</v>
      </c>
      <c r="D45" s="89" t="s">
        <v>1</v>
      </c>
      <c r="E45" s="90">
        <v>58.1</v>
      </c>
      <c r="F45" s="90">
        <v>158</v>
      </c>
      <c r="G45" s="87">
        <f t="shared" si="0"/>
        <v>23.273513859958339</v>
      </c>
      <c r="H45" s="91">
        <v>82</v>
      </c>
      <c r="I45" s="91">
        <v>131</v>
      </c>
      <c r="J45" s="91">
        <v>80</v>
      </c>
      <c r="K45" s="30">
        <v>0</v>
      </c>
    </row>
    <row r="46" spans="1:14" x14ac:dyDescent="0.2">
      <c r="A46" s="1">
        <v>2025</v>
      </c>
      <c r="B46" s="20" t="s">
        <v>182</v>
      </c>
      <c r="C46" s="32" t="s">
        <v>103</v>
      </c>
      <c r="D46" s="32" t="s">
        <v>1</v>
      </c>
      <c r="E46" s="86">
        <v>94.6</v>
      </c>
      <c r="F46" s="86">
        <v>185.1</v>
      </c>
      <c r="G46" s="20">
        <v>27.610756053132903</v>
      </c>
      <c r="H46" s="20" t="s">
        <v>242</v>
      </c>
      <c r="I46" s="20" t="s">
        <v>242</v>
      </c>
      <c r="J46" s="20" t="s">
        <v>242</v>
      </c>
      <c r="K46" s="1">
        <v>0</v>
      </c>
      <c r="L46" s="61" t="s">
        <v>243</v>
      </c>
      <c r="M46" s="61"/>
      <c r="N46" s="61"/>
    </row>
    <row r="47" spans="1:14" x14ac:dyDescent="0.2">
      <c r="A47" s="1">
        <v>2025</v>
      </c>
      <c r="B47" s="11" t="s">
        <v>155</v>
      </c>
      <c r="C47" s="1" t="s">
        <v>103</v>
      </c>
      <c r="D47" s="11" t="s">
        <v>156</v>
      </c>
      <c r="E47" s="11">
        <v>88.8</v>
      </c>
      <c r="F47" s="11">
        <v>183.6</v>
      </c>
      <c r="G47" s="1">
        <f t="shared" ref="G47:G71" si="1">E47/((F47/100)*(F47/100))</f>
        <v>26.343144374670711</v>
      </c>
      <c r="H47" s="11">
        <v>97.3</v>
      </c>
      <c r="I47" s="11">
        <v>131</v>
      </c>
      <c r="J47" s="20">
        <v>86</v>
      </c>
      <c r="K47" s="1">
        <v>0</v>
      </c>
    </row>
    <row r="48" spans="1:14" x14ac:dyDescent="0.2">
      <c r="A48" s="1">
        <v>2025</v>
      </c>
      <c r="B48" s="11" t="s">
        <v>157</v>
      </c>
      <c r="C48" s="1" t="s">
        <v>111</v>
      </c>
      <c r="D48" s="11" t="s">
        <v>156</v>
      </c>
      <c r="E48" s="11">
        <v>79.400000000000006</v>
      </c>
      <c r="F48" s="11">
        <v>175.3</v>
      </c>
      <c r="G48" s="1">
        <f t="shared" si="1"/>
        <v>25.83786770556155</v>
      </c>
      <c r="H48" s="11">
        <v>103.2</v>
      </c>
      <c r="I48" s="11">
        <v>127</v>
      </c>
      <c r="J48" s="20">
        <v>81</v>
      </c>
      <c r="K48" s="1">
        <v>1</v>
      </c>
    </row>
    <row r="49" spans="1:11" x14ac:dyDescent="0.2">
      <c r="A49" s="1">
        <v>2025</v>
      </c>
      <c r="B49" s="11" t="s">
        <v>158</v>
      </c>
      <c r="C49" s="1" t="s">
        <v>103</v>
      </c>
      <c r="D49" s="11" t="s">
        <v>156</v>
      </c>
      <c r="E49" s="11">
        <v>79.5</v>
      </c>
      <c r="F49" s="11">
        <v>184.3</v>
      </c>
      <c r="G49" s="1">
        <f t="shared" si="1"/>
        <v>23.405421048804271</v>
      </c>
      <c r="H49" s="11">
        <v>91.1</v>
      </c>
      <c r="I49" s="11">
        <v>128</v>
      </c>
      <c r="J49" s="20">
        <v>81</v>
      </c>
      <c r="K49" s="1">
        <v>0</v>
      </c>
    </row>
    <row r="50" spans="1:11" x14ac:dyDescent="0.2">
      <c r="A50" s="1">
        <v>2025</v>
      </c>
      <c r="B50" s="11" t="s">
        <v>159</v>
      </c>
      <c r="C50" s="1" t="s">
        <v>103</v>
      </c>
      <c r="D50" s="11" t="s">
        <v>160</v>
      </c>
      <c r="E50" s="11">
        <v>87.9</v>
      </c>
      <c r="F50" s="11">
        <v>181.2</v>
      </c>
      <c r="G50" s="1">
        <f t="shared" si="1"/>
        <v>26.771486630703336</v>
      </c>
      <c r="H50" s="11">
        <v>100</v>
      </c>
      <c r="I50" s="11">
        <v>130</v>
      </c>
      <c r="J50" s="20">
        <v>82</v>
      </c>
      <c r="K50" s="1">
        <v>0</v>
      </c>
    </row>
    <row r="51" spans="1:11" x14ac:dyDescent="0.2">
      <c r="A51" s="1">
        <v>2025</v>
      </c>
      <c r="B51" s="11" t="s">
        <v>161</v>
      </c>
      <c r="C51" s="1" t="s">
        <v>111</v>
      </c>
      <c r="D51" s="11" t="s">
        <v>160</v>
      </c>
      <c r="E51" s="11">
        <v>77.400000000000006</v>
      </c>
      <c r="F51" s="11">
        <v>178.5</v>
      </c>
      <c r="G51" s="1">
        <f t="shared" si="1"/>
        <v>24.292069769084108</v>
      </c>
      <c r="H51" s="11">
        <v>86.2</v>
      </c>
      <c r="I51" s="11">
        <v>122</v>
      </c>
      <c r="J51" s="20">
        <v>74</v>
      </c>
      <c r="K51" s="1">
        <v>1</v>
      </c>
    </row>
    <row r="52" spans="1:11" x14ac:dyDescent="0.2">
      <c r="A52" s="1">
        <v>2025</v>
      </c>
      <c r="B52" s="11" t="s">
        <v>162</v>
      </c>
      <c r="C52" s="1" t="s">
        <v>111</v>
      </c>
      <c r="D52" s="11" t="s">
        <v>160</v>
      </c>
      <c r="E52" s="11">
        <v>71.2</v>
      </c>
      <c r="F52" s="11">
        <v>166.5</v>
      </c>
      <c r="G52" s="1">
        <f t="shared" si="1"/>
        <v>25.683340998656313</v>
      </c>
      <c r="H52" s="11">
        <v>92.8</v>
      </c>
      <c r="I52" s="11">
        <v>142</v>
      </c>
      <c r="J52" s="20">
        <v>73</v>
      </c>
      <c r="K52" s="1">
        <v>0</v>
      </c>
    </row>
    <row r="53" spans="1:11" x14ac:dyDescent="0.2">
      <c r="A53" s="1">
        <v>2025</v>
      </c>
      <c r="B53" s="11" t="s">
        <v>163</v>
      </c>
      <c r="C53" s="1" t="s">
        <v>111</v>
      </c>
      <c r="D53" s="11" t="s">
        <v>160</v>
      </c>
      <c r="E53" s="11">
        <v>100.7</v>
      </c>
      <c r="F53" s="11">
        <v>182.2</v>
      </c>
      <c r="G53" s="1">
        <f t="shared" si="1"/>
        <v>30.334212533482106</v>
      </c>
      <c r="H53" s="11">
        <v>113</v>
      </c>
      <c r="I53" s="11">
        <v>112</v>
      </c>
      <c r="J53" s="20">
        <v>78</v>
      </c>
      <c r="K53" s="1">
        <v>1</v>
      </c>
    </row>
    <row r="54" spans="1:11" x14ac:dyDescent="0.2">
      <c r="A54" s="1">
        <v>2025</v>
      </c>
      <c r="B54" s="11" t="s">
        <v>164</v>
      </c>
      <c r="C54" s="1" t="s">
        <v>103</v>
      </c>
      <c r="D54" s="11" t="s">
        <v>156</v>
      </c>
      <c r="E54" s="11">
        <v>72.5</v>
      </c>
      <c r="F54" s="11">
        <v>182.8</v>
      </c>
      <c r="G54" s="1">
        <f t="shared" si="1"/>
        <v>21.696297324861501</v>
      </c>
      <c r="H54" s="11">
        <v>84.5</v>
      </c>
      <c r="I54" s="11">
        <v>125</v>
      </c>
      <c r="J54" s="20">
        <v>64</v>
      </c>
      <c r="K54" s="1">
        <v>0</v>
      </c>
    </row>
    <row r="55" spans="1:11" x14ac:dyDescent="0.2">
      <c r="A55" s="1">
        <v>2025</v>
      </c>
      <c r="B55" s="11" t="s">
        <v>165</v>
      </c>
      <c r="C55" s="1" t="s">
        <v>103</v>
      </c>
      <c r="D55" s="11" t="s">
        <v>156</v>
      </c>
      <c r="E55" s="11">
        <v>69.900000000000006</v>
      </c>
      <c r="F55" s="11">
        <v>182.9</v>
      </c>
      <c r="G55" s="1">
        <f t="shared" si="1"/>
        <v>20.895355521470655</v>
      </c>
      <c r="H55" s="11">
        <v>82.8</v>
      </c>
      <c r="I55" s="11">
        <v>119</v>
      </c>
      <c r="J55" s="20">
        <v>70</v>
      </c>
      <c r="K55" s="1">
        <v>0</v>
      </c>
    </row>
    <row r="56" spans="1:11" x14ac:dyDescent="0.2">
      <c r="A56" s="1">
        <v>2025</v>
      </c>
      <c r="B56" s="11" t="s">
        <v>166</v>
      </c>
      <c r="C56" s="1" t="s">
        <v>103</v>
      </c>
      <c r="D56" s="11" t="s">
        <v>1</v>
      </c>
      <c r="E56" s="11">
        <v>83.5</v>
      </c>
      <c r="F56" s="11">
        <v>169.6</v>
      </c>
      <c r="G56" s="1">
        <f t="shared" si="1"/>
        <v>29.029180758276969</v>
      </c>
      <c r="H56" s="11">
        <v>105.8</v>
      </c>
      <c r="I56" s="11">
        <v>122</v>
      </c>
      <c r="J56" s="20">
        <v>73</v>
      </c>
      <c r="K56" s="1">
        <v>0</v>
      </c>
    </row>
    <row r="57" spans="1:11" x14ac:dyDescent="0.2">
      <c r="A57" s="1">
        <v>2025</v>
      </c>
      <c r="B57" s="11" t="s">
        <v>167</v>
      </c>
      <c r="C57" s="1" t="s">
        <v>111</v>
      </c>
      <c r="D57" s="11" t="s">
        <v>1</v>
      </c>
      <c r="E57" s="11">
        <v>82</v>
      </c>
      <c r="F57" s="11">
        <v>189.1</v>
      </c>
      <c r="G57" s="1">
        <f t="shared" si="1"/>
        <v>22.931411867453086</v>
      </c>
      <c r="H57" s="11">
        <v>86.3</v>
      </c>
      <c r="I57" s="11">
        <v>106</v>
      </c>
      <c r="J57" s="20">
        <v>70</v>
      </c>
      <c r="K57" s="1">
        <v>0</v>
      </c>
    </row>
    <row r="58" spans="1:11" x14ac:dyDescent="0.2">
      <c r="A58" s="1">
        <v>2025</v>
      </c>
      <c r="B58" s="11" t="s">
        <v>168</v>
      </c>
      <c r="C58" s="1" t="s">
        <v>103</v>
      </c>
      <c r="D58" s="11" t="s">
        <v>160</v>
      </c>
      <c r="E58" s="11">
        <v>70.599999999999994</v>
      </c>
      <c r="F58" s="11">
        <v>170.2</v>
      </c>
      <c r="G58" s="1">
        <f t="shared" si="1"/>
        <v>24.37168686593915</v>
      </c>
      <c r="H58" s="11">
        <v>83.6</v>
      </c>
      <c r="I58" s="11">
        <v>158</v>
      </c>
      <c r="J58" s="20">
        <v>71</v>
      </c>
      <c r="K58" s="1">
        <v>0</v>
      </c>
    </row>
    <row r="59" spans="1:11" x14ac:dyDescent="0.2">
      <c r="A59" s="1">
        <v>2025</v>
      </c>
      <c r="B59" s="11" t="s">
        <v>169</v>
      </c>
      <c r="C59" s="1" t="s">
        <v>111</v>
      </c>
      <c r="D59" s="11" t="s">
        <v>160</v>
      </c>
      <c r="E59" s="11">
        <v>122.4</v>
      </c>
      <c r="F59" s="11">
        <v>176</v>
      </c>
      <c r="G59" s="1">
        <f t="shared" si="1"/>
        <v>39.514462809917362</v>
      </c>
      <c r="H59" s="11">
        <v>119</v>
      </c>
      <c r="I59" s="11">
        <v>123</v>
      </c>
      <c r="J59" s="20">
        <v>71</v>
      </c>
      <c r="K59" s="1">
        <v>1</v>
      </c>
    </row>
    <row r="60" spans="1:11" x14ac:dyDescent="0.2">
      <c r="A60" s="1">
        <v>2025</v>
      </c>
      <c r="B60" s="11" t="s">
        <v>170</v>
      </c>
      <c r="C60" s="1" t="s">
        <v>111</v>
      </c>
      <c r="D60" s="11" t="s">
        <v>160</v>
      </c>
      <c r="E60" s="11">
        <v>90.7</v>
      </c>
      <c r="F60" s="11">
        <v>162.6</v>
      </c>
      <c r="G60" s="1">
        <f t="shared" si="1"/>
        <v>34.305693610441644</v>
      </c>
      <c r="H60" s="11">
        <v>116</v>
      </c>
      <c r="I60" s="11">
        <v>154</v>
      </c>
      <c r="J60" s="20">
        <v>110</v>
      </c>
      <c r="K60" s="1">
        <v>0</v>
      </c>
    </row>
    <row r="61" spans="1:11" x14ac:dyDescent="0.2">
      <c r="A61" s="1">
        <v>2025</v>
      </c>
      <c r="B61" s="11" t="s">
        <v>171</v>
      </c>
      <c r="C61" s="1" t="s">
        <v>103</v>
      </c>
      <c r="D61" s="11" t="s">
        <v>160</v>
      </c>
      <c r="E61" s="11">
        <v>73.099999999999994</v>
      </c>
      <c r="F61" s="11">
        <v>171.5</v>
      </c>
      <c r="G61" s="1">
        <f t="shared" si="1"/>
        <v>24.853589915766385</v>
      </c>
      <c r="H61" s="11">
        <v>83</v>
      </c>
      <c r="I61" s="11">
        <v>125</v>
      </c>
      <c r="J61" s="20">
        <v>72</v>
      </c>
      <c r="K61" s="1">
        <v>0</v>
      </c>
    </row>
    <row r="62" spans="1:11" x14ac:dyDescent="0.2">
      <c r="A62" s="1">
        <v>2025</v>
      </c>
      <c r="B62" s="11" t="s">
        <v>172</v>
      </c>
      <c r="C62" s="1" t="s">
        <v>103</v>
      </c>
      <c r="D62" s="11" t="s">
        <v>160</v>
      </c>
      <c r="E62" s="11">
        <v>69.3</v>
      </c>
      <c r="F62" s="11">
        <v>173.9</v>
      </c>
      <c r="G62" s="1">
        <f t="shared" si="1"/>
        <v>22.915749733558936</v>
      </c>
      <c r="H62" s="11">
        <v>91.5</v>
      </c>
      <c r="I62" s="11">
        <v>141</v>
      </c>
      <c r="J62" s="20">
        <v>80</v>
      </c>
      <c r="K62" s="1">
        <v>0</v>
      </c>
    </row>
    <row r="63" spans="1:11" x14ac:dyDescent="0.2">
      <c r="A63" s="1">
        <v>2025</v>
      </c>
      <c r="B63" s="11" t="s">
        <v>173</v>
      </c>
      <c r="C63" s="1" t="s">
        <v>103</v>
      </c>
      <c r="D63" s="11" t="s">
        <v>160</v>
      </c>
      <c r="E63" s="11">
        <v>72.7</v>
      </c>
      <c r="F63" s="11">
        <v>167</v>
      </c>
      <c r="G63" s="1">
        <f t="shared" si="1"/>
        <v>26.067625228584749</v>
      </c>
      <c r="H63" s="11">
        <v>92</v>
      </c>
      <c r="I63" s="11">
        <v>141</v>
      </c>
      <c r="J63" s="20">
        <v>72</v>
      </c>
      <c r="K63" s="1">
        <v>0</v>
      </c>
    </row>
    <row r="64" spans="1:11" x14ac:dyDescent="0.2">
      <c r="A64" s="1">
        <v>2025</v>
      </c>
      <c r="B64" s="11" t="s">
        <v>174</v>
      </c>
      <c r="C64" s="1" t="s">
        <v>111</v>
      </c>
      <c r="D64" s="11" t="s">
        <v>156</v>
      </c>
      <c r="E64" s="11">
        <v>67.2</v>
      </c>
      <c r="F64" s="11">
        <v>177</v>
      </c>
      <c r="G64" s="1">
        <f t="shared" si="1"/>
        <v>21.449774968878675</v>
      </c>
      <c r="H64" s="11">
        <v>86</v>
      </c>
      <c r="I64" s="11">
        <v>145</v>
      </c>
      <c r="J64" s="20">
        <v>90</v>
      </c>
      <c r="K64" s="1">
        <v>1</v>
      </c>
    </row>
    <row r="65" spans="1:13" x14ac:dyDescent="0.2">
      <c r="A65" s="1">
        <v>2025</v>
      </c>
      <c r="B65" s="11" t="s">
        <v>175</v>
      </c>
      <c r="C65" s="1" t="s">
        <v>103</v>
      </c>
      <c r="D65" s="11" t="s">
        <v>160</v>
      </c>
      <c r="E65" s="11">
        <v>99.1</v>
      </c>
      <c r="F65" s="11">
        <v>167</v>
      </c>
      <c r="G65" s="1">
        <f t="shared" si="1"/>
        <v>35.533722973215248</v>
      </c>
      <c r="H65" s="11">
        <v>120</v>
      </c>
      <c r="I65" s="11">
        <v>154</v>
      </c>
      <c r="J65" s="20">
        <v>87</v>
      </c>
      <c r="K65" s="1">
        <v>0</v>
      </c>
    </row>
    <row r="66" spans="1:13" x14ac:dyDescent="0.2">
      <c r="A66" s="1">
        <v>2025</v>
      </c>
      <c r="B66" s="11" t="s">
        <v>176</v>
      </c>
      <c r="C66" s="1" t="s">
        <v>103</v>
      </c>
      <c r="D66" s="11" t="s">
        <v>160</v>
      </c>
      <c r="E66" s="11">
        <v>68.7</v>
      </c>
      <c r="F66" s="11">
        <v>166</v>
      </c>
      <c r="G66" s="1">
        <f t="shared" si="1"/>
        <v>24.931049499201627</v>
      </c>
      <c r="H66" s="11">
        <v>84.5</v>
      </c>
      <c r="I66" s="11">
        <v>112</v>
      </c>
      <c r="J66" s="20">
        <v>69</v>
      </c>
      <c r="K66" s="1">
        <v>0</v>
      </c>
    </row>
    <row r="67" spans="1:13" x14ac:dyDescent="0.2">
      <c r="A67" s="1">
        <v>2025</v>
      </c>
      <c r="B67" s="11" t="s">
        <v>177</v>
      </c>
      <c r="C67" s="1" t="s">
        <v>111</v>
      </c>
      <c r="D67" s="11" t="s">
        <v>1</v>
      </c>
      <c r="E67" s="11">
        <v>73</v>
      </c>
      <c r="F67" s="11">
        <v>157.5</v>
      </c>
      <c r="G67" s="1">
        <f t="shared" si="1"/>
        <v>29.428067523305621</v>
      </c>
      <c r="H67" s="11">
        <v>97.5</v>
      </c>
      <c r="I67" s="11">
        <v>124</v>
      </c>
      <c r="J67" s="20">
        <v>78</v>
      </c>
      <c r="K67" s="1">
        <v>1</v>
      </c>
    </row>
    <row r="68" spans="1:13" x14ac:dyDescent="0.2">
      <c r="A68" s="1">
        <v>2025</v>
      </c>
      <c r="B68" s="11" t="s">
        <v>178</v>
      </c>
      <c r="C68" s="1" t="s">
        <v>103</v>
      </c>
      <c r="D68" s="11" t="s">
        <v>160</v>
      </c>
      <c r="E68" s="11">
        <v>86.8</v>
      </c>
      <c r="F68" s="11">
        <v>171.1</v>
      </c>
      <c r="G68" s="1">
        <f t="shared" si="1"/>
        <v>29.649659216791274</v>
      </c>
      <c r="H68" s="11">
        <v>103</v>
      </c>
      <c r="I68" s="11">
        <v>143</v>
      </c>
      <c r="J68" s="20">
        <v>91</v>
      </c>
      <c r="K68" s="1">
        <v>0</v>
      </c>
    </row>
    <row r="69" spans="1:13" x14ac:dyDescent="0.2">
      <c r="A69" s="1">
        <v>2025</v>
      </c>
      <c r="B69" s="11" t="s">
        <v>179</v>
      </c>
      <c r="C69" s="1" t="s">
        <v>103</v>
      </c>
      <c r="D69" s="11" t="s">
        <v>160</v>
      </c>
      <c r="E69" s="11">
        <v>75.400000000000006</v>
      </c>
      <c r="F69" s="11">
        <v>180.6</v>
      </c>
      <c r="G69" s="1">
        <f t="shared" si="1"/>
        <v>23.117233192177178</v>
      </c>
      <c r="H69" s="11">
        <v>85</v>
      </c>
      <c r="I69" s="11">
        <v>130</v>
      </c>
      <c r="J69" s="20">
        <v>85</v>
      </c>
      <c r="K69" s="1">
        <v>0</v>
      </c>
    </row>
    <row r="70" spans="1:13" x14ac:dyDescent="0.2">
      <c r="A70" s="1">
        <v>2025</v>
      </c>
      <c r="B70" s="11" t="s">
        <v>180</v>
      </c>
      <c r="C70" s="1" t="s">
        <v>111</v>
      </c>
      <c r="D70" s="11" t="s">
        <v>156</v>
      </c>
      <c r="E70" s="11">
        <v>66.599999999999994</v>
      </c>
      <c r="F70" s="11">
        <v>167.5</v>
      </c>
      <c r="G70" s="1">
        <f t="shared" si="1"/>
        <v>23.738026286478057</v>
      </c>
      <c r="H70" s="11">
        <v>85.1</v>
      </c>
      <c r="I70" s="11">
        <v>106</v>
      </c>
      <c r="J70" s="20">
        <v>68</v>
      </c>
      <c r="K70" s="1">
        <v>1</v>
      </c>
    </row>
    <row r="71" spans="1:13" x14ac:dyDescent="0.2">
      <c r="A71" s="1">
        <v>2025</v>
      </c>
      <c r="B71" s="5" t="s">
        <v>181</v>
      </c>
      <c r="C71" s="1" t="s">
        <v>111</v>
      </c>
      <c r="D71" s="5" t="s">
        <v>156</v>
      </c>
      <c r="E71" s="5">
        <v>87.3</v>
      </c>
      <c r="F71" s="5">
        <v>164.7</v>
      </c>
      <c r="G71" s="1">
        <f t="shared" si="1"/>
        <v>32.183038543335961</v>
      </c>
      <c r="H71" s="5">
        <v>120.5</v>
      </c>
      <c r="I71" s="5">
        <v>139</v>
      </c>
      <c r="J71" s="20">
        <v>82</v>
      </c>
      <c r="K71" s="1">
        <v>1</v>
      </c>
    </row>
    <row r="74" spans="1:13" x14ac:dyDescent="0.2">
      <c r="L74" s="29" t="s">
        <v>260</v>
      </c>
      <c r="M74" s="29"/>
    </row>
    <row r="75" spans="1:13" x14ac:dyDescent="0.2">
      <c r="B75" s="1"/>
      <c r="C75" s="78"/>
      <c r="D75" s="1"/>
      <c r="E75" s="1"/>
      <c r="F75" s="1"/>
      <c r="G75" s="1"/>
      <c r="H75" s="1"/>
      <c r="I75" s="1"/>
    </row>
    <row r="76" spans="1:13" x14ac:dyDescent="0.2">
      <c r="B76" s="1"/>
      <c r="C76" s="78"/>
      <c r="D76" s="1"/>
      <c r="E76" s="1"/>
      <c r="F76" s="1"/>
      <c r="G76" s="1"/>
      <c r="H76" s="1"/>
      <c r="I76" s="1"/>
    </row>
    <row r="77" spans="1:13" x14ac:dyDescent="0.2">
      <c r="B77" s="1"/>
      <c r="C77" s="78"/>
      <c r="D77" s="1"/>
      <c r="E77" s="1"/>
      <c r="F77" s="1"/>
      <c r="G77" s="1"/>
      <c r="H77" s="1"/>
      <c r="I77" s="1"/>
    </row>
    <row r="78" spans="1:13" x14ac:dyDescent="0.2">
      <c r="B78" s="1"/>
      <c r="C78" s="78"/>
      <c r="D78" s="1"/>
      <c r="E78" s="1"/>
      <c r="F78" s="1"/>
      <c r="G78" s="1"/>
      <c r="H78" s="1"/>
      <c r="I78" s="1"/>
    </row>
    <row r="79" spans="1:13" x14ac:dyDescent="0.2">
      <c r="B79" s="1"/>
      <c r="C79" s="78"/>
      <c r="D79" s="1"/>
      <c r="E79" s="1"/>
      <c r="F79" s="1"/>
      <c r="G79" s="1"/>
      <c r="H79" s="1"/>
      <c r="I79" s="1"/>
    </row>
    <row r="80" spans="1:13" x14ac:dyDescent="0.2">
      <c r="B80" s="1"/>
      <c r="C80" s="78"/>
      <c r="D80" s="1"/>
      <c r="E80" s="1"/>
      <c r="F80" s="1"/>
      <c r="G80" s="1"/>
      <c r="H80" s="1"/>
      <c r="I80" s="1"/>
    </row>
    <row r="81" spans="2:9" x14ac:dyDescent="0.2">
      <c r="B81" s="1"/>
      <c r="C81" s="78"/>
      <c r="D81" s="1"/>
      <c r="E81" s="1"/>
      <c r="F81" s="1"/>
      <c r="G81" s="1"/>
      <c r="H81" s="1"/>
      <c r="I81" s="1"/>
    </row>
    <row r="82" spans="2:9" x14ac:dyDescent="0.2">
      <c r="B82" s="1"/>
      <c r="C82" s="78"/>
      <c r="D82" s="1"/>
      <c r="E82" s="1"/>
      <c r="F82" s="1"/>
      <c r="G82" s="1"/>
      <c r="H82" s="1"/>
      <c r="I82" s="1"/>
    </row>
    <row r="83" spans="2:9" x14ac:dyDescent="0.2">
      <c r="B83" s="1"/>
      <c r="C83" s="78"/>
      <c r="D83" s="1"/>
      <c r="E83" s="1"/>
      <c r="F83" s="1"/>
      <c r="G83" s="1"/>
      <c r="H83" s="1"/>
      <c r="I83" s="1"/>
    </row>
    <row r="84" spans="2:9" x14ac:dyDescent="0.2">
      <c r="B84" s="1"/>
      <c r="C84" s="78"/>
      <c r="D84" s="1"/>
      <c r="E84" s="1"/>
      <c r="F84" s="1"/>
      <c r="G84" s="1"/>
      <c r="H84" s="1"/>
      <c r="I84" s="1"/>
    </row>
    <row r="85" spans="2:9" x14ac:dyDescent="0.2">
      <c r="B85" s="1"/>
      <c r="C85" s="78"/>
      <c r="D85" s="1"/>
      <c r="E85" s="1"/>
      <c r="F85" s="1"/>
      <c r="G85" s="1"/>
      <c r="H85" s="1"/>
      <c r="I85" s="1"/>
    </row>
    <row r="86" spans="2:9" x14ac:dyDescent="0.2">
      <c r="B86" s="1"/>
      <c r="C86" s="78"/>
      <c r="D86" s="1"/>
      <c r="E86" s="1"/>
      <c r="F86" s="1"/>
      <c r="G86" s="1"/>
      <c r="H86" s="1"/>
      <c r="I86" s="1"/>
    </row>
    <row r="87" spans="2:9" x14ac:dyDescent="0.2">
      <c r="B87" s="1"/>
      <c r="C87" s="78"/>
      <c r="D87" s="1"/>
      <c r="E87" s="1"/>
      <c r="F87" s="1"/>
      <c r="G87" s="1"/>
      <c r="H87" s="1"/>
      <c r="I87" s="1"/>
    </row>
    <row r="88" spans="2:9" x14ac:dyDescent="0.2">
      <c r="B88" s="1"/>
      <c r="C88" s="78"/>
      <c r="D88" s="1"/>
      <c r="E88" s="1"/>
      <c r="F88" s="1"/>
      <c r="G88" s="1"/>
      <c r="H88" s="1"/>
      <c r="I88" s="1"/>
    </row>
    <row r="89" spans="2:9" x14ac:dyDescent="0.2">
      <c r="B89" s="1"/>
      <c r="C89" s="78"/>
      <c r="D89" s="1"/>
      <c r="E89" s="1"/>
      <c r="F89" s="1"/>
      <c r="G89" s="1"/>
      <c r="H89" s="1"/>
      <c r="I89" s="1"/>
    </row>
    <row r="90" spans="2:9" x14ac:dyDescent="0.2">
      <c r="B90" s="1"/>
      <c r="C90" s="78"/>
      <c r="D90" s="1"/>
      <c r="E90" s="1"/>
      <c r="F90" s="1"/>
      <c r="G90" s="1"/>
      <c r="H90" s="1"/>
      <c r="I90" s="1"/>
    </row>
    <row r="91" spans="2:9" x14ac:dyDescent="0.2">
      <c r="B91" s="1"/>
      <c r="C91" s="78"/>
      <c r="D91" s="1"/>
      <c r="E91" s="1"/>
      <c r="F91" s="1"/>
      <c r="G91" s="1"/>
      <c r="H91" s="1"/>
      <c r="I91" s="1"/>
    </row>
    <row r="92" spans="2:9" x14ac:dyDescent="0.2">
      <c r="B92" s="1"/>
      <c r="C92" s="78"/>
      <c r="D92" s="1"/>
      <c r="E92" s="1"/>
      <c r="F92" s="1"/>
      <c r="G92" s="1"/>
      <c r="H92" s="1"/>
      <c r="I92" s="1"/>
    </row>
    <row r="93" spans="2:9" x14ac:dyDescent="0.2">
      <c r="B93" s="1"/>
      <c r="C93" s="78"/>
      <c r="D93" s="1"/>
      <c r="E93" s="1"/>
      <c r="F93" s="1"/>
      <c r="G93" s="1"/>
      <c r="H93" s="1"/>
      <c r="I93" s="1"/>
    </row>
    <row r="127" spans="2:9" x14ac:dyDescent="0.2">
      <c r="B127" s="76"/>
      <c r="C127" s="77"/>
      <c r="D127" s="76"/>
      <c r="E127" s="76"/>
      <c r="F127" s="76"/>
      <c r="G127" s="1"/>
      <c r="H127" s="76"/>
      <c r="I127" s="76"/>
    </row>
    <row r="128" spans="2:9" x14ac:dyDescent="0.2">
      <c r="B128" s="76"/>
      <c r="C128" s="77"/>
      <c r="D128" s="76"/>
      <c r="E128" s="76"/>
      <c r="F128" s="76"/>
      <c r="G128" s="1"/>
      <c r="H128" s="76"/>
      <c r="I128" s="76"/>
    </row>
    <row r="129" spans="2:9" x14ac:dyDescent="0.2">
      <c r="B129" s="76"/>
      <c r="C129" s="77"/>
      <c r="D129" s="76"/>
      <c r="E129" s="76"/>
      <c r="F129" s="76"/>
      <c r="G129" s="1"/>
      <c r="H129" s="76"/>
      <c r="I129" s="76"/>
    </row>
    <row r="130" spans="2:9" x14ac:dyDescent="0.2">
      <c r="B130" s="76"/>
      <c r="C130" s="77"/>
      <c r="D130" s="76"/>
      <c r="E130" s="76"/>
      <c r="F130" s="76"/>
      <c r="G130" s="1"/>
      <c r="H130" s="76"/>
      <c r="I130" s="76"/>
    </row>
    <row r="131" spans="2:9" x14ac:dyDescent="0.2">
      <c r="B131" s="76"/>
      <c r="C131" s="77"/>
      <c r="D131" s="76"/>
      <c r="E131" s="76"/>
      <c r="F131" s="76"/>
      <c r="G131" s="1"/>
      <c r="H131" s="76"/>
      <c r="I131" s="76"/>
    </row>
    <row r="132" spans="2:9" x14ac:dyDescent="0.2">
      <c r="B132" s="76"/>
      <c r="C132" s="77"/>
      <c r="D132" s="76"/>
      <c r="E132" s="76"/>
      <c r="F132" s="76"/>
      <c r="G132" s="1"/>
      <c r="H132" s="76"/>
      <c r="I132" s="76"/>
    </row>
    <row r="133" spans="2:9" x14ac:dyDescent="0.2">
      <c r="B133" s="76"/>
      <c r="C133" s="77"/>
      <c r="D133" s="76"/>
      <c r="E133" s="76"/>
      <c r="F133" s="76"/>
      <c r="G133" s="1"/>
      <c r="H133" s="76"/>
      <c r="I133" s="76"/>
    </row>
    <row r="134" spans="2:9" x14ac:dyDescent="0.2">
      <c r="B134" s="76"/>
      <c r="C134" s="77"/>
      <c r="D134" s="76"/>
      <c r="E134" s="76"/>
      <c r="F134" s="76"/>
      <c r="G134" s="1"/>
      <c r="H134" s="76"/>
      <c r="I134" s="76"/>
    </row>
    <row r="135" spans="2:9" x14ac:dyDescent="0.2">
      <c r="B135" s="76"/>
      <c r="C135" s="77"/>
      <c r="D135" s="76"/>
      <c r="E135" s="76"/>
      <c r="F135" s="76"/>
      <c r="G135" s="1"/>
      <c r="H135" s="76"/>
      <c r="I135" s="76"/>
    </row>
    <row r="136" spans="2:9" x14ac:dyDescent="0.2">
      <c r="B136" s="76"/>
      <c r="C136" s="77"/>
      <c r="D136" s="76"/>
      <c r="E136" s="76"/>
      <c r="F136" s="76"/>
      <c r="G136" s="1"/>
      <c r="H136" s="76"/>
      <c r="I136" s="76"/>
    </row>
    <row r="137" spans="2:9" x14ac:dyDescent="0.2">
      <c r="B137" s="76"/>
      <c r="C137" s="77"/>
      <c r="D137" s="76"/>
      <c r="E137" s="76"/>
      <c r="F137" s="76"/>
      <c r="G137" s="1"/>
      <c r="H137" s="76"/>
      <c r="I137" s="76"/>
    </row>
    <row r="138" spans="2:9" x14ac:dyDescent="0.2">
      <c r="B138" s="76"/>
      <c r="C138" s="77"/>
      <c r="D138" s="76"/>
      <c r="E138" s="76"/>
      <c r="F138" s="76"/>
      <c r="G138" s="1"/>
      <c r="H138" s="76"/>
      <c r="I138" s="76"/>
    </row>
    <row r="139" spans="2:9" x14ac:dyDescent="0.2">
      <c r="B139" s="76"/>
      <c r="C139" s="77"/>
      <c r="D139" s="76"/>
      <c r="E139" s="76"/>
      <c r="F139" s="76"/>
      <c r="G139" s="1"/>
      <c r="H139" s="76"/>
      <c r="I139" s="76"/>
    </row>
    <row r="140" spans="2:9" x14ac:dyDescent="0.2">
      <c r="B140" s="76"/>
      <c r="C140" s="77"/>
      <c r="D140" s="76"/>
      <c r="E140" s="76"/>
      <c r="F140" s="76"/>
      <c r="G140" s="1"/>
      <c r="H140" s="76"/>
      <c r="I140" s="76"/>
    </row>
    <row r="141" spans="2:9" x14ac:dyDescent="0.2">
      <c r="B141" s="76"/>
      <c r="C141" s="77"/>
      <c r="D141" s="76"/>
      <c r="E141" s="76"/>
      <c r="F141" s="76"/>
      <c r="G141" s="1"/>
      <c r="H141" s="76"/>
      <c r="I141" s="76"/>
    </row>
    <row r="142" spans="2:9" x14ac:dyDescent="0.2">
      <c r="B142" s="76"/>
      <c r="C142" s="77"/>
      <c r="D142" s="76"/>
      <c r="E142" s="76"/>
      <c r="F142" s="76"/>
      <c r="G142" s="1"/>
      <c r="H142" s="76"/>
      <c r="I142" s="76"/>
    </row>
    <row r="143" spans="2:9" x14ac:dyDescent="0.2">
      <c r="B143" s="76"/>
      <c r="C143" s="77"/>
      <c r="D143" s="76"/>
      <c r="E143" s="76"/>
      <c r="F143" s="76"/>
      <c r="G143" s="1"/>
      <c r="H143" s="76"/>
      <c r="I143" s="76"/>
    </row>
    <row r="144" spans="2:9" x14ac:dyDescent="0.2">
      <c r="B144" s="76"/>
      <c r="C144" s="77"/>
      <c r="D144" s="76"/>
      <c r="E144" s="76"/>
      <c r="F144" s="76"/>
      <c r="G144" s="1"/>
      <c r="H144" s="76"/>
      <c r="I144" s="76"/>
    </row>
    <row r="145" spans="2:9" x14ac:dyDescent="0.2">
      <c r="B145" s="76"/>
      <c r="C145" s="77"/>
      <c r="D145" s="76"/>
      <c r="E145" s="76"/>
      <c r="F145" s="76"/>
      <c r="G145" s="1"/>
      <c r="H145" s="76"/>
      <c r="I145" s="76"/>
    </row>
    <row r="146" spans="2:9" x14ac:dyDescent="0.2">
      <c r="B146" s="76"/>
      <c r="C146" s="77"/>
      <c r="D146" s="76"/>
      <c r="E146" s="76"/>
      <c r="F146" s="76"/>
      <c r="G146" s="1"/>
      <c r="H146" s="76"/>
      <c r="I146" s="76"/>
    </row>
    <row r="147" spans="2:9" x14ac:dyDescent="0.2">
      <c r="B147" s="76"/>
      <c r="C147" s="77"/>
      <c r="D147" s="76"/>
      <c r="E147" s="76"/>
      <c r="F147" s="76"/>
      <c r="G147" s="1"/>
      <c r="H147" s="76"/>
      <c r="I147" s="76"/>
    </row>
    <row r="148" spans="2:9" x14ac:dyDescent="0.2">
      <c r="B148" s="76"/>
      <c r="C148" s="77"/>
      <c r="D148" s="76"/>
      <c r="E148" s="76"/>
      <c r="F148" s="76"/>
      <c r="G148" s="1"/>
      <c r="H148" s="76"/>
      <c r="I148" s="76"/>
    </row>
    <row r="149" spans="2:9" x14ac:dyDescent="0.2">
      <c r="B149" s="76"/>
      <c r="C149" s="77"/>
      <c r="D149" s="76"/>
      <c r="E149" s="76"/>
      <c r="F149" s="76"/>
      <c r="G149" s="1"/>
      <c r="H149" s="76"/>
      <c r="I149" s="76"/>
    </row>
    <row r="150" spans="2:9" x14ac:dyDescent="0.2">
      <c r="B150" s="76"/>
      <c r="C150" s="77"/>
      <c r="D150" s="76"/>
      <c r="E150" s="76"/>
      <c r="F150" s="76"/>
      <c r="G150" s="1"/>
      <c r="H150" s="76"/>
      <c r="I150" s="76"/>
    </row>
    <row r="151" spans="2:9" x14ac:dyDescent="0.2">
      <c r="B151" s="76"/>
      <c r="C151" s="77"/>
      <c r="D151" s="76"/>
      <c r="E151" s="76"/>
      <c r="F151" s="76"/>
      <c r="G151" s="1"/>
      <c r="H151" s="76"/>
      <c r="I151" s="76"/>
    </row>
    <row r="152" spans="2:9" x14ac:dyDescent="0.2">
      <c r="B152" s="76"/>
      <c r="C152" s="77"/>
      <c r="D152" s="76"/>
      <c r="E152" s="76"/>
      <c r="F152" s="76"/>
      <c r="G152" s="1"/>
      <c r="H152" s="76"/>
      <c r="I152" s="76"/>
    </row>
    <row r="153" spans="2:9" x14ac:dyDescent="0.2">
      <c r="B153" s="76"/>
      <c r="C153" s="77"/>
      <c r="D153" s="76"/>
      <c r="E153" s="76"/>
      <c r="F153" s="76"/>
      <c r="G153" s="1"/>
      <c r="H153" s="76"/>
      <c r="I153" s="76"/>
    </row>
    <row r="154" spans="2:9" x14ac:dyDescent="0.2">
      <c r="B154" s="76"/>
      <c r="C154" s="77"/>
      <c r="D154" s="76"/>
      <c r="E154" s="76"/>
      <c r="F154" s="76"/>
      <c r="G154" s="1"/>
      <c r="H154" s="76"/>
      <c r="I154" s="76"/>
    </row>
    <row r="155" spans="2:9" x14ac:dyDescent="0.2">
      <c r="B155" s="76"/>
      <c r="C155" s="77"/>
      <c r="D155" s="76"/>
      <c r="E155" s="76"/>
      <c r="F155" s="76"/>
      <c r="G155" s="1"/>
      <c r="H155" s="76"/>
      <c r="I155" s="76"/>
    </row>
    <row r="156" spans="2:9" x14ac:dyDescent="0.2">
      <c r="B156" s="76"/>
      <c r="C156" s="77"/>
      <c r="D156" s="76"/>
      <c r="E156" s="76"/>
      <c r="F156" s="76"/>
      <c r="G156" s="1"/>
      <c r="H156" s="76"/>
      <c r="I156" s="76"/>
    </row>
    <row r="157" spans="2:9" x14ac:dyDescent="0.2">
      <c r="B157" s="76"/>
      <c r="C157" s="77"/>
      <c r="D157" s="76"/>
      <c r="E157" s="76"/>
      <c r="F157" s="76"/>
      <c r="G157" s="1"/>
      <c r="H157" s="76"/>
      <c r="I157" s="7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88F1-B699-1B4C-A132-374F9703A175}">
  <dimension ref="A1:AE75"/>
  <sheetViews>
    <sheetView tabSelected="1" workbookViewId="0">
      <pane ySplit="2" topLeftCell="A3" activePane="bottomLeft" state="frozen"/>
      <selection pane="bottomLeft" activeCell="D65" sqref="D65"/>
    </sheetView>
  </sheetViews>
  <sheetFormatPr baseColWidth="10" defaultRowHeight="15" x14ac:dyDescent="0.2"/>
  <cols>
    <col min="1" max="1" width="10.83203125" style="1"/>
    <col min="2" max="5" width="10.83203125" style="20"/>
    <col min="6" max="6" width="17" style="20" customWidth="1"/>
    <col min="7" max="7" width="21" style="20" customWidth="1"/>
    <col min="8" max="10" width="10.83203125" style="20"/>
    <col min="11" max="11" width="17.33203125" style="20" bestFit="1" customWidth="1"/>
    <col min="12" max="14" width="10.83203125" style="1"/>
    <col min="15" max="15" width="22.5" style="1" bestFit="1" customWidth="1"/>
    <col min="16" max="22" width="10.83203125" style="1"/>
    <col min="23" max="23" width="17.1640625" style="1" bestFit="1" customWidth="1"/>
    <col min="24" max="24" width="13.1640625" style="1" bestFit="1" customWidth="1"/>
    <col min="25" max="25" width="17.5" style="1" customWidth="1"/>
    <col min="26" max="16384" width="10.83203125" style="1"/>
  </cols>
  <sheetData>
    <row r="1" spans="1:26" x14ac:dyDescent="0.2">
      <c r="A1" s="1" t="s">
        <v>58</v>
      </c>
      <c r="B1" s="20" t="s">
        <v>55</v>
      </c>
      <c r="C1" s="1" t="s">
        <v>86</v>
      </c>
      <c r="D1" s="1" t="s">
        <v>91</v>
      </c>
      <c r="E1" s="20" t="s">
        <v>92</v>
      </c>
      <c r="F1" s="20" t="s">
        <v>94</v>
      </c>
      <c r="G1" s="31" t="s">
        <v>98</v>
      </c>
      <c r="H1" s="20" t="s">
        <v>213</v>
      </c>
      <c r="I1" s="20" t="s">
        <v>214</v>
      </c>
      <c r="J1" s="20" t="s">
        <v>215</v>
      </c>
      <c r="P1" s="30"/>
      <c r="Q1" s="30"/>
      <c r="R1" s="30"/>
      <c r="S1" s="30"/>
      <c r="T1" s="30"/>
      <c r="U1" s="30"/>
      <c r="V1" s="30"/>
    </row>
    <row r="2" spans="1:26" x14ac:dyDescent="0.2">
      <c r="A2" s="1">
        <v>2024</v>
      </c>
      <c r="B2" s="25" t="s">
        <v>51</v>
      </c>
      <c r="C2" s="1" t="s">
        <v>103</v>
      </c>
      <c r="D2" s="1" t="s">
        <v>105</v>
      </c>
      <c r="E2" s="2" t="s">
        <v>106</v>
      </c>
      <c r="F2" s="1" t="s">
        <v>107</v>
      </c>
      <c r="G2" s="1" t="s">
        <v>109</v>
      </c>
      <c r="H2" s="1">
        <v>27.622741462491717</v>
      </c>
      <c r="I2" s="20">
        <v>137</v>
      </c>
      <c r="J2" s="20">
        <v>20</v>
      </c>
      <c r="W2" s="31"/>
      <c r="X2" s="31"/>
    </row>
    <row r="3" spans="1:26" x14ac:dyDescent="0.2">
      <c r="A3" s="1">
        <v>2024</v>
      </c>
      <c r="B3" s="25" t="s">
        <v>38</v>
      </c>
      <c r="C3" s="1" t="s">
        <v>111</v>
      </c>
      <c r="D3" s="1"/>
      <c r="E3" s="2" t="s">
        <v>106</v>
      </c>
      <c r="F3" s="33" t="s">
        <v>107</v>
      </c>
      <c r="G3" s="1" t="s">
        <v>112</v>
      </c>
      <c r="H3" s="1">
        <v>28.320312499999993</v>
      </c>
      <c r="I3" s="20">
        <v>116</v>
      </c>
      <c r="J3" s="1">
        <v>20</v>
      </c>
      <c r="L3" s="32"/>
      <c r="M3" s="32"/>
      <c r="P3" s="20"/>
      <c r="Q3" s="20"/>
      <c r="R3" s="20"/>
      <c r="S3" s="20"/>
      <c r="T3" s="20"/>
      <c r="U3" s="20"/>
      <c r="V3" s="20"/>
      <c r="Y3" s="20"/>
    </row>
    <row r="4" spans="1:26" x14ac:dyDescent="0.2">
      <c r="A4" s="1">
        <v>2024</v>
      </c>
      <c r="B4" s="25" t="s">
        <v>37</v>
      </c>
      <c r="C4" s="1" t="s">
        <v>103</v>
      </c>
      <c r="D4" s="1"/>
      <c r="E4" s="2" t="s">
        <v>106</v>
      </c>
      <c r="F4" s="33" t="s">
        <v>107</v>
      </c>
      <c r="G4" s="1" t="s">
        <v>112</v>
      </c>
      <c r="H4" s="1">
        <v>21.679687499999996</v>
      </c>
      <c r="I4" s="20">
        <v>153</v>
      </c>
      <c r="J4" s="33">
        <v>18</v>
      </c>
      <c r="L4" s="32"/>
      <c r="M4" s="32"/>
      <c r="P4" s="20"/>
      <c r="Q4" s="20"/>
      <c r="R4" s="20"/>
      <c r="S4" s="20"/>
      <c r="T4" s="20"/>
      <c r="U4" s="20"/>
      <c r="V4" s="20"/>
      <c r="Y4" s="20"/>
    </row>
    <row r="5" spans="1:26" x14ac:dyDescent="0.2">
      <c r="A5" s="1">
        <v>2024</v>
      </c>
      <c r="B5" s="25" t="s">
        <v>36</v>
      </c>
      <c r="C5" s="1" t="s">
        <v>111</v>
      </c>
      <c r="D5" s="1"/>
      <c r="E5" s="2" t="s">
        <v>106</v>
      </c>
      <c r="F5" s="33" t="s">
        <v>107</v>
      </c>
      <c r="G5" s="1" t="s">
        <v>109</v>
      </c>
      <c r="H5" s="1">
        <v>24.489795918367346</v>
      </c>
      <c r="I5" s="20">
        <v>171</v>
      </c>
      <c r="J5" s="33">
        <v>11</v>
      </c>
      <c r="L5" s="32"/>
      <c r="M5" s="32"/>
      <c r="P5" s="20"/>
      <c r="Q5" s="20"/>
      <c r="R5" s="20"/>
      <c r="S5" s="20"/>
      <c r="T5" s="20"/>
      <c r="U5" s="20"/>
      <c r="V5" s="20"/>
      <c r="Y5" s="20"/>
    </row>
    <row r="6" spans="1:26" s="30" customFormat="1" x14ac:dyDescent="0.2">
      <c r="A6" s="1">
        <v>2024</v>
      </c>
      <c r="B6" s="20" t="s">
        <v>50</v>
      </c>
      <c r="C6" s="1" t="s">
        <v>111</v>
      </c>
      <c r="D6" s="1" t="s">
        <v>105</v>
      </c>
      <c r="E6" s="2" t="s">
        <v>106</v>
      </c>
      <c r="F6" s="33" t="s">
        <v>107</v>
      </c>
      <c r="G6" s="1" t="s">
        <v>109</v>
      </c>
      <c r="H6" s="1">
        <v>23.994142220355201</v>
      </c>
      <c r="I6" s="20">
        <v>133</v>
      </c>
      <c r="J6" s="33">
        <v>12</v>
      </c>
      <c r="L6" s="32"/>
      <c r="M6" s="32"/>
      <c r="N6" s="1"/>
      <c r="P6" s="20"/>
      <c r="Q6" s="20"/>
      <c r="R6" s="20"/>
      <c r="S6" s="20"/>
      <c r="T6" s="20"/>
      <c r="U6" s="20"/>
      <c r="V6" s="20"/>
      <c r="W6" s="1"/>
      <c r="X6" s="1"/>
      <c r="Y6" s="20"/>
      <c r="Z6" s="33"/>
    </row>
    <row r="7" spans="1:26" x14ac:dyDescent="0.2">
      <c r="A7" s="1">
        <v>2024</v>
      </c>
      <c r="B7" s="20" t="s">
        <v>35</v>
      </c>
      <c r="C7" s="1" t="s">
        <v>111</v>
      </c>
      <c r="D7" s="1"/>
      <c r="E7" s="2" t="s">
        <v>106</v>
      </c>
      <c r="F7" s="33" t="s">
        <v>116</v>
      </c>
      <c r="G7" s="1" t="s">
        <v>109</v>
      </c>
      <c r="H7" s="1">
        <v>27.160756249926195</v>
      </c>
      <c r="I7" s="20">
        <v>146</v>
      </c>
      <c r="J7" s="33">
        <v>20</v>
      </c>
      <c r="P7" s="20"/>
      <c r="Q7" s="20"/>
      <c r="R7" s="20"/>
      <c r="S7" s="20"/>
      <c r="T7" s="20"/>
      <c r="U7" s="20"/>
      <c r="V7" s="20"/>
      <c r="Y7" s="20"/>
    </row>
    <row r="8" spans="1:26" x14ac:dyDescent="0.2">
      <c r="A8" s="1">
        <v>2024</v>
      </c>
      <c r="B8" s="20" t="s">
        <v>34</v>
      </c>
      <c r="C8" s="1" t="s">
        <v>111</v>
      </c>
      <c r="D8" s="1"/>
      <c r="E8" s="2" t="s">
        <v>106</v>
      </c>
      <c r="F8" s="33" t="s">
        <v>116</v>
      </c>
      <c r="G8" s="1" t="s">
        <v>118</v>
      </c>
      <c r="H8" s="1">
        <v>40.515873692829977</v>
      </c>
      <c r="I8" s="20">
        <v>164</v>
      </c>
      <c r="J8" s="33">
        <v>16</v>
      </c>
      <c r="P8" s="20"/>
      <c r="Q8" s="20"/>
      <c r="R8" s="20"/>
      <c r="S8" s="20"/>
      <c r="T8" s="20"/>
      <c r="U8" s="20"/>
      <c r="V8" s="20"/>
      <c r="Y8" s="20"/>
    </row>
    <row r="9" spans="1:26" x14ac:dyDescent="0.2">
      <c r="A9" s="1">
        <v>2024</v>
      </c>
      <c r="B9" s="34" t="s">
        <v>33</v>
      </c>
      <c r="C9" s="35" t="s">
        <v>103</v>
      </c>
      <c r="D9" s="1"/>
      <c r="E9" s="2" t="s">
        <v>106</v>
      </c>
      <c r="F9" s="33" t="s">
        <v>107</v>
      </c>
      <c r="G9" s="33" t="s">
        <v>109</v>
      </c>
      <c r="H9" s="1">
        <v>30.323317716542363</v>
      </c>
      <c r="I9" s="20">
        <v>140</v>
      </c>
      <c r="J9" s="33">
        <v>21</v>
      </c>
      <c r="P9" s="20"/>
      <c r="Q9" s="20"/>
      <c r="R9" s="20"/>
      <c r="S9" s="20"/>
      <c r="T9" s="20"/>
      <c r="U9" s="20"/>
      <c r="V9" s="20"/>
      <c r="Y9" s="20"/>
    </row>
    <row r="10" spans="1:26" x14ac:dyDescent="0.2">
      <c r="A10" s="1">
        <v>2024</v>
      </c>
      <c r="B10" s="20" t="s">
        <v>32</v>
      </c>
      <c r="C10" s="1" t="s">
        <v>103</v>
      </c>
      <c r="D10" s="1"/>
      <c r="E10" s="2" t="s">
        <v>106</v>
      </c>
      <c r="F10" s="33" t="s">
        <v>116</v>
      </c>
      <c r="G10" s="1" t="s">
        <v>109</v>
      </c>
      <c r="H10" s="1">
        <v>18.377918520516893</v>
      </c>
      <c r="I10" s="20">
        <v>167</v>
      </c>
      <c r="J10" s="33">
        <v>12</v>
      </c>
      <c r="L10" s="33"/>
      <c r="M10" s="33"/>
      <c r="N10" s="33"/>
      <c r="P10" s="34"/>
      <c r="Q10" s="34"/>
      <c r="R10" s="34"/>
      <c r="S10" s="34"/>
      <c r="T10" s="34"/>
      <c r="U10" s="34"/>
      <c r="V10" s="34"/>
      <c r="W10" s="33"/>
      <c r="X10" s="33"/>
      <c r="Y10" s="34"/>
      <c r="Z10" s="33"/>
    </row>
    <row r="11" spans="1:26" x14ac:dyDescent="0.2">
      <c r="A11" s="1">
        <v>2024</v>
      </c>
      <c r="B11" s="20" t="s">
        <v>31</v>
      </c>
      <c r="C11" s="1" t="s">
        <v>103</v>
      </c>
      <c r="D11" s="1"/>
      <c r="E11" s="2" t="s">
        <v>106</v>
      </c>
      <c r="F11" s="33" t="s">
        <v>121</v>
      </c>
      <c r="G11" s="1" t="s">
        <v>122</v>
      </c>
      <c r="H11" s="1">
        <v>32.757396449704139</v>
      </c>
      <c r="I11" s="20">
        <v>131</v>
      </c>
      <c r="J11" s="33">
        <v>19</v>
      </c>
      <c r="P11" s="20"/>
      <c r="Q11" s="20"/>
      <c r="R11" s="20"/>
      <c r="S11" s="20"/>
      <c r="T11" s="20"/>
      <c r="U11" s="20"/>
      <c r="V11" s="20"/>
      <c r="Y11" s="20"/>
    </row>
    <row r="12" spans="1:26" x14ac:dyDescent="0.2">
      <c r="A12" s="1">
        <v>2024</v>
      </c>
      <c r="B12" s="25" t="s">
        <v>30</v>
      </c>
      <c r="C12" s="1" t="s">
        <v>111</v>
      </c>
      <c r="D12" s="1"/>
      <c r="E12" s="2" t="s">
        <v>123</v>
      </c>
      <c r="F12" s="33" t="s">
        <v>107</v>
      </c>
      <c r="G12" s="1" t="s">
        <v>118</v>
      </c>
      <c r="H12" s="1">
        <v>28.162150808653639</v>
      </c>
      <c r="I12" s="20">
        <v>146</v>
      </c>
      <c r="J12" s="33">
        <v>11</v>
      </c>
      <c r="P12" s="20"/>
      <c r="Q12" s="20"/>
      <c r="R12" s="20"/>
      <c r="S12" s="20"/>
      <c r="T12" s="20"/>
      <c r="U12" s="20"/>
      <c r="V12" s="20"/>
      <c r="Y12" s="20"/>
    </row>
    <row r="13" spans="1:26" x14ac:dyDescent="0.2">
      <c r="A13" s="1">
        <v>2024</v>
      </c>
      <c r="B13" s="25" t="s">
        <v>29</v>
      </c>
      <c r="C13" s="1" t="s">
        <v>111</v>
      </c>
      <c r="D13" s="1"/>
      <c r="E13" s="2" t="s">
        <v>123</v>
      </c>
      <c r="F13" s="33" t="s">
        <v>107</v>
      </c>
      <c r="G13" s="1" t="s">
        <v>124</v>
      </c>
      <c r="H13" s="1">
        <v>24.76284631499659</v>
      </c>
      <c r="I13" s="20">
        <v>153</v>
      </c>
      <c r="J13" s="33">
        <v>11</v>
      </c>
      <c r="L13" s="32"/>
      <c r="M13" s="32"/>
      <c r="P13" s="20"/>
      <c r="Q13" s="20"/>
      <c r="R13" s="20"/>
      <c r="S13" s="20"/>
      <c r="T13" s="20"/>
      <c r="U13" s="20"/>
      <c r="V13" s="20"/>
      <c r="Y13" s="20"/>
    </row>
    <row r="14" spans="1:26" x14ac:dyDescent="0.2">
      <c r="A14" s="1">
        <v>2024</v>
      </c>
      <c r="B14" s="20" t="s">
        <v>28</v>
      </c>
      <c r="C14" s="1" t="s">
        <v>111</v>
      </c>
      <c r="D14" s="1"/>
      <c r="E14" s="2" t="s">
        <v>123</v>
      </c>
      <c r="F14" s="33" t="s">
        <v>107</v>
      </c>
      <c r="G14" s="1" t="s">
        <v>125</v>
      </c>
      <c r="H14" s="1">
        <v>26.377599694417992</v>
      </c>
      <c r="I14" s="20">
        <v>167</v>
      </c>
      <c r="J14" s="33">
        <v>10</v>
      </c>
      <c r="L14" s="32"/>
      <c r="M14" s="32"/>
      <c r="N14" s="33"/>
      <c r="P14" s="20"/>
      <c r="Q14" s="20"/>
      <c r="R14" s="20"/>
      <c r="S14" s="20"/>
      <c r="T14" s="20"/>
      <c r="U14" s="20"/>
      <c r="V14" s="20"/>
      <c r="Y14" s="20"/>
    </row>
    <row r="15" spans="1:26" x14ac:dyDescent="0.2">
      <c r="A15" s="1">
        <v>2024</v>
      </c>
      <c r="B15" s="20" t="s">
        <v>27</v>
      </c>
      <c r="C15" s="1" t="s">
        <v>103</v>
      </c>
      <c r="D15" s="1"/>
      <c r="E15" s="2" t="s">
        <v>106</v>
      </c>
      <c r="F15" s="33" t="s">
        <v>107</v>
      </c>
      <c r="G15" s="1" t="s">
        <v>124</v>
      </c>
      <c r="H15" s="1">
        <v>31.179836857290294</v>
      </c>
      <c r="I15" s="75">
        <v>121</v>
      </c>
      <c r="J15" s="33">
        <v>13</v>
      </c>
      <c r="P15" s="20"/>
      <c r="Q15" s="20"/>
      <c r="R15" s="20"/>
      <c r="S15" s="20"/>
      <c r="T15" s="20"/>
      <c r="U15" s="20"/>
      <c r="V15" s="20"/>
      <c r="Y15" s="20"/>
    </row>
    <row r="16" spans="1:26" x14ac:dyDescent="0.2">
      <c r="A16" s="1">
        <v>2024</v>
      </c>
      <c r="B16" s="20" t="s">
        <v>26</v>
      </c>
      <c r="C16" s="1" t="s">
        <v>111</v>
      </c>
      <c r="D16" s="1"/>
      <c r="E16" s="2" t="s">
        <v>123</v>
      </c>
      <c r="F16" s="33" t="s">
        <v>116</v>
      </c>
      <c r="G16" s="1" t="s">
        <v>127</v>
      </c>
      <c r="H16" s="1">
        <v>27.400863675223047</v>
      </c>
      <c r="I16" s="20">
        <v>118</v>
      </c>
      <c r="J16" s="33">
        <v>24</v>
      </c>
      <c r="P16" s="20"/>
      <c r="Q16" s="20"/>
      <c r="R16" s="20"/>
      <c r="S16" s="20"/>
      <c r="T16" s="20"/>
      <c r="U16" s="20"/>
      <c r="V16" s="20"/>
      <c r="Y16" s="20"/>
    </row>
    <row r="17" spans="1:25" x14ac:dyDescent="0.2">
      <c r="A17" s="1">
        <v>2024</v>
      </c>
      <c r="B17" s="20" t="s">
        <v>24</v>
      </c>
      <c r="C17" s="1" t="s">
        <v>103</v>
      </c>
      <c r="D17" s="1"/>
      <c r="E17" s="2" t="s">
        <v>123</v>
      </c>
      <c r="F17" s="33" t="s">
        <v>107</v>
      </c>
      <c r="G17" s="1" t="s">
        <v>124</v>
      </c>
      <c r="H17" s="1">
        <v>24.246052439587174</v>
      </c>
      <c r="I17" s="20">
        <v>133</v>
      </c>
      <c r="J17" s="33">
        <v>19</v>
      </c>
      <c r="P17" s="20"/>
      <c r="Q17" s="20"/>
      <c r="R17" s="20"/>
      <c r="S17" s="20"/>
      <c r="T17" s="20"/>
      <c r="U17" s="20"/>
      <c r="V17" s="20"/>
      <c r="Y17" s="20"/>
    </row>
    <row r="18" spans="1:25" x14ac:dyDescent="0.2">
      <c r="A18" s="1">
        <v>2024</v>
      </c>
      <c r="B18" s="25" t="s">
        <v>49</v>
      </c>
      <c r="C18" s="1" t="s">
        <v>111</v>
      </c>
      <c r="D18" s="1" t="s">
        <v>105</v>
      </c>
      <c r="E18" s="2" t="s">
        <v>106</v>
      </c>
      <c r="F18" s="33" t="s">
        <v>116</v>
      </c>
      <c r="G18" s="1" t="s">
        <v>129</v>
      </c>
      <c r="H18" s="1">
        <v>26.143875116796863</v>
      </c>
      <c r="I18" s="20">
        <v>112</v>
      </c>
      <c r="J18" s="33">
        <v>26</v>
      </c>
      <c r="P18" s="20"/>
      <c r="Q18" s="20"/>
      <c r="R18" s="20"/>
      <c r="S18" s="20"/>
      <c r="T18" s="20"/>
      <c r="U18" s="20"/>
      <c r="V18" s="20"/>
      <c r="Y18" s="20"/>
    </row>
    <row r="19" spans="1:25" x14ac:dyDescent="0.2">
      <c r="A19" s="1">
        <v>2024</v>
      </c>
      <c r="B19" s="20" t="s">
        <v>23</v>
      </c>
      <c r="C19" s="1" t="s">
        <v>103</v>
      </c>
      <c r="D19" s="1"/>
      <c r="E19" s="2" t="s">
        <v>106</v>
      </c>
      <c r="F19" s="33" t="s">
        <v>107</v>
      </c>
      <c r="G19" s="1" t="s">
        <v>109</v>
      </c>
      <c r="H19" s="1">
        <v>22.243906029898852</v>
      </c>
      <c r="I19" s="20">
        <v>151</v>
      </c>
      <c r="J19" s="33">
        <v>22</v>
      </c>
      <c r="L19" s="32"/>
      <c r="M19" s="32"/>
      <c r="P19" s="20"/>
      <c r="Q19" s="20"/>
      <c r="R19" s="20"/>
      <c r="S19" s="20"/>
      <c r="T19" s="20"/>
      <c r="U19" s="20"/>
      <c r="V19" s="20"/>
      <c r="Y19" s="20"/>
    </row>
    <row r="20" spans="1:25" x14ac:dyDescent="0.2">
      <c r="A20" s="1">
        <v>2024</v>
      </c>
      <c r="B20" s="20" t="s">
        <v>48</v>
      </c>
      <c r="C20" s="1" t="s">
        <v>111</v>
      </c>
      <c r="D20" s="1" t="s">
        <v>105</v>
      </c>
      <c r="E20" s="2" t="s">
        <v>106</v>
      </c>
      <c r="F20" s="33" t="s">
        <v>116</v>
      </c>
      <c r="G20" s="1" t="s">
        <v>109</v>
      </c>
      <c r="H20" s="1">
        <v>31.928467168185858</v>
      </c>
      <c r="I20" s="20">
        <v>176</v>
      </c>
      <c r="J20" s="33">
        <v>37</v>
      </c>
      <c r="P20" s="20"/>
      <c r="Q20" s="20"/>
      <c r="R20" s="20"/>
      <c r="S20" s="20"/>
      <c r="T20" s="20"/>
      <c r="U20" s="20"/>
      <c r="V20" s="20"/>
      <c r="Y20" s="20"/>
    </row>
    <row r="21" spans="1:25" x14ac:dyDescent="0.2">
      <c r="A21" s="1">
        <v>2024</v>
      </c>
      <c r="B21" s="20" t="s">
        <v>22</v>
      </c>
      <c r="C21" s="1" t="s">
        <v>103</v>
      </c>
      <c r="D21" s="1"/>
      <c r="E21" s="2" t="s">
        <v>106</v>
      </c>
      <c r="F21" s="33" t="s">
        <v>107</v>
      </c>
      <c r="G21" s="1" t="s">
        <v>109</v>
      </c>
      <c r="H21" s="1">
        <v>21.584415827324676</v>
      </c>
      <c r="I21" s="20">
        <v>185</v>
      </c>
      <c r="J21" s="33">
        <v>16</v>
      </c>
      <c r="P21" s="20"/>
      <c r="Q21" s="20"/>
      <c r="R21" s="20"/>
      <c r="S21" s="20"/>
      <c r="T21" s="20"/>
      <c r="U21" s="20"/>
      <c r="V21" s="20"/>
      <c r="Y21" s="20"/>
    </row>
    <row r="22" spans="1:25" x14ac:dyDescent="0.2">
      <c r="A22" s="1">
        <v>2024</v>
      </c>
      <c r="B22" s="20" t="s">
        <v>21</v>
      </c>
      <c r="C22" s="1" t="s">
        <v>111</v>
      </c>
      <c r="D22" s="1"/>
      <c r="E22" s="1" t="s">
        <v>106</v>
      </c>
      <c r="F22" s="33" t="s">
        <v>116</v>
      </c>
      <c r="G22" s="1" t="s">
        <v>122</v>
      </c>
      <c r="H22" s="1">
        <v>25.46712802768166</v>
      </c>
      <c r="I22" s="20">
        <v>151</v>
      </c>
      <c r="J22" s="33">
        <v>15</v>
      </c>
      <c r="P22" s="20"/>
      <c r="Q22" s="20"/>
      <c r="R22" s="20"/>
      <c r="S22" s="20"/>
      <c r="T22" s="20"/>
      <c r="U22" s="20"/>
      <c r="V22" s="20"/>
      <c r="Y22" s="20"/>
    </row>
    <row r="23" spans="1:25" x14ac:dyDescent="0.2">
      <c r="A23" s="1">
        <v>2024</v>
      </c>
      <c r="B23" s="20" t="s">
        <v>47</v>
      </c>
      <c r="C23" s="1" t="s">
        <v>103</v>
      </c>
      <c r="D23" s="1" t="s">
        <v>105</v>
      </c>
      <c r="E23" s="2" t="s">
        <v>106</v>
      </c>
      <c r="F23" s="33" t="s">
        <v>116</v>
      </c>
      <c r="G23" s="1" t="s">
        <v>109</v>
      </c>
      <c r="H23" s="1">
        <v>29.700413223140497</v>
      </c>
      <c r="I23" s="20">
        <v>181</v>
      </c>
      <c r="J23" s="33">
        <v>27</v>
      </c>
      <c r="P23" s="20"/>
      <c r="Q23" s="20"/>
      <c r="R23" s="20"/>
      <c r="S23" s="20"/>
      <c r="T23" s="20"/>
      <c r="U23" s="20"/>
      <c r="V23" s="20"/>
      <c r="Y23" s="20"/>
    </row>
    <row r="24" spans="1:25" x14ac:dyDescent="0.2">
      <c r="A24" s="1">
        <v>2024</v>
      </c>
      <c r="B24" s="20" t="s">
        <v>19</v>
      </c>
      <c r="C24" s="1" t="s">
        <v>111</v>
      </c>
      <c r="D24" s="1"/>
      <c r="E24" s="2" t="s">
        <v>106</v>
      </c>
      <c r="F24" s="33" t="s">
        <v>116</v>
      </c>
      <c r="G24" s="1" t="s">
        <v>109</v>
      </c>
      <c r="H24" s="26">
        <v>26.934240504353795</v>
      </c>
      <c r="I24" s="20">
        <v>167</v>
      </c>
      <c r="J24" s="33">
        <v>20</v>
      </c>
      <c r="P24" s="20"/>
      <c r="Q24" s="20"/>
      <c r="R24" s="20"/>
      <c r="S24" s="20"/>
      <c r="T24" s="20"/>
      <c r="U24" s="20"/>
      <c r="V24" s="20"/>
      <c r="Y24" s="20"/>
    </row>
    <row r="25" spans="1:25" x14ac:dyDescent="0.2">
      <c r="A25" s="1">
        <v>2024</v>
      </c>
      <c r="B25" s="25" t="s">
        <v>18</v>
      </c>
      <c r="C25" s="1" t="s">
        <v>111</v>
      </c>
      <c r="D25" s="1"/>
      <c r="E25" s="2" t="s">
        <v>106</v>
      </c>
      <c r="F25" s="33" t="s">
        <v>107</v>
      </c>
      <c r="G25" s="1" t="s">
        <v>127</v>
      </c>
      <c r="H25" s="1">
        <v>39.043267938726153</v>
      </c>
      <c r="I25" s="20">
        <v>64</v>
      </c>
      <c r="J25" s="84">
        <v>4</v>
      </c>
      <c r="P25" s="20"/>
      <c r="Q25" s="20"/>
      <c r="R25" s="20"/>
      <c r="S25" s="20"/>
      <c r="T25" s="20"/>
      <c r="U25" s="20"/>
      <c r="V25" s="20"/>
      <c r="Y25" s="20"/>
    </row>
    <row r="26" spans="1:25" x14ac:dyDescent="0.2">
      <c r="A26" s="1">
        <v>2024</v>
      </c>
      <c r="B26" s="20" t="s">
        <v>17</v>
      </c>
      <c r="C26" s="1" t="s">
        <v>111</v>
      </c>
      <c r="D26" s="1"/>
      <c r="E26" s="2" t="s">
        <v>106</v>
      </c>
      <c r="F26" s="33" t="s">
        <v>116</v>
      </c>
      <c r="G26" s="1" t="s">
        <v>109</v>
      </c>
      <c r="H26" s="1">
        <v>27.857549889698202</v>
      </c>
      <c r="I26" s="20">
        <v>140</v>
      </c>
      <c r="J26" s="33">
        <v>31</v>
      </c>
      <c r="L26" s="32"/>
      <c r="M26" s="32"/>
      <c r="P26" s="20"/>
      <c r="Q26" s="20"/>
      <c r="R26" s="20"/>
      <c r="S26" s="20"/>
      <c r="T26" s="20"/>
      <c r="U26" s="20"/>
      <c r="V26" s="20"/>
      <c r="Y26" s="20"/>
    </row>
    <row r="27" spans="1:25" x14ac:dyDescent="0.2">
      <c r="A27" s="1">
        <v>2024</v>
      </c>
      <c r="B27" s="20" t="s">
        <v>16</v>
      </c>
      <c r="C27" s="1" t="s">
        <v>103</v>
      </c>
      <c r="D27" s="1"/>
      <c r="E27" s="2" t="s">
        <v>106</v>
      </c>
      <c r="F27" s="33" t="s">
        <v>107</v>
      </c>
      <c r="G27" s="1" t="s">
        <v>122</v>
      </c>
      <c r="H27" s="1">
        <v>20.705448480724396</v>
      </c>
      <c r="I27" s="20">
        <v>139</v>
      </c>
      <c r="J27" s="33">
        <v>12</v>
      </c>
      <c r="P27" s="20"/>
      <c r="Q27" s="20"/>
      <c r="R27" s="20"/>
      <c r="S27" s="20"/>
      <c r="T27" s="20"/>
      <c r="U27" s="20"/>
      <c r="V27" s="20"/>
      <c r="Y27" s="20"/>
    </row>
    <row r="28" spans="1:25" x14ac:dyDescent="0.2">
      <c r="A28" s="1">
        <v>2024</v>
      </c>
      <c r="B28" s="20" t="s">
        <v>46</v>
      </c>
      <c r="C28" s="1" t="s">
        <v>111</v>
      </c>
      <c r="D28" s="1" t="s">
        <v>105</v>
      </c>
      <c r="E28" s="2" t="s">
        <v>123</v>
      </c>
      <c r="F28" s="33" t="s">
        <v>121</v>
      </c>
      <c r="G28" s="1" t="s">
        <v>134</v>
      </c>
      <c r="H28" s="1">
        <v>34.848864300404493</v>
      </c>
      <c r="I28" s="75">
        <v>122</v>
      </c>
      <c r="J28" s="33">
        <v>11</v>
      </c>
      <c r="P28" s="20"/>
      <c r="Q28" s="20"/>
      <c r="R28" s="20"/>
      <c r="S28" s="20"/>
      <c r="T28" s="20"/>
      <c r="U28" s="20"/>
      <c r="V28" s="20"/>
      <c r="Y28" s="20"/>
    </row>
    <row r="29" spans="1:25" x14ac:dyDescent="0.2">
      <c r="A29" s="1">
        <v>2024</v>
      </c>
      <c r="B29" s="20" t="s">
        <v>45</v>
      </c>
      <c r="C29" s="1" t="s">
        <v>111</v>
      </c>
      <c r="D29" s="1" t="s">
        <v>105</v>
      </c>
      <c r="E29" s="2" t="s">
        <v>123</v>
      </c>
      <c r="F29" s="33" t="s">
        <v>107</v>
      </c>
      <c r="G29" s="1" t="s">
        <v>122</v>
      </c>
      <c r="H29" s="1">
        <v>30.563265306122446</v>
      </c>
      <c r="I29" s="20">
        <v>114</v>
      </c>
      <c r="J29" s="33">
        <v>11</v>
      </c>
      <c r="P29" s="20"/>
      <c r="Q29" s="20"/>
      <c r="R29" s="20"/>
      <c r="S29" s="20"/>
      <c r="T29" s="20"/>
      <c r="U29" s="20"/>
      <c r="V29" s="20"/>
      <c r="Y29" s="20"/>
    </row>
    <row r="30" spans="1:25" x14ac:dyDescent="0.2">
      <c r="A30" s="1">
        <v>2024</v>
      </c>
      <c r="B30" s="20" t="s">
        <v>14</v>
      </c>
      <c r="C30" s="1" t="s">
        <v>103</v>
      </c>
      <c r="D30" s="1"/>
      <c r="E30" s="2" t="s">
        <v>123</v>
      </c>
      <c r="F30" s="33" t="s">
        <v>107</v>
      </c>
      <c r="G30" s="1" t="s">
        <v>127</v>
      </c>
      <c r="H30" s="1">
        <v>33.21193201526188</v>
      </c>
      <c r="I30" s="20">
        <v>69</v>
      </c>
      <c r="J30" s="33">
        <v>25</v>
      </c>
      <c r="P30" s="20"/>
      <c r="Q30" s="20"/>
      <c r="R30" s="20"/>
      <c r="S30" s="20"/>
      <c r="T30" s="20"/>
      <c r="U30" s="20"/>
      <c r="V30" s="20"/>
      <c r="Y30" s="20"/>
    </row>
    <row r="31" spans="1:25" x14ac:dyDescent="0.2">
      <c r="A31" s="1">
        <v>2024</v>
      </c>
      <c r="B31" s="20" t="s">
        <v>13</v>
      </c>
      <c r="C31" s="35" t="s">
        <v>111</v>
      </c>
      <c r="D31" s="1"/>
      <c r="E31" s="2" t="s">
        <v>106</v>
      </c>
      <c r="F31" s="33" t="s">
        <v>116</v>
      </c>
      <c r="G31" s="1" t="s">
        <v>109</v>
      </c>
      <c r="H31" s="1">
        <v>28.09983627919409</v>
      </c>
      <c r="I31" s="20">
        <v>128</v>
      </c>
      <c r="J31" s="33">
        <v>30</v>
      </c>
      <c r="P31" s="20"/>
      <c r="Q31" s="20"/>
      <c r="R31" s="20"/>
      <c r="S31" s="20"/>
      <c r="T31" s="20"/>
      <c r="U31" s="20"/>
      <c r="V31" s="20"/>
      <c r="Y31" s="20"/>
    </row>
    <row r="32" spans="1:25" x14ac:dyDescent="0.2">
      <c r="A32" s="1">
        <v>2024</v>
      </c>
      <c r="B32" s="20" t="s">
        <v>12</v>
      </c>
      <c r="C32" s="1" t="s">
        <v>103</v>
      </c>
      <c r="D32" s="1"/>
      <c r="E32" s="2" t="s">
        <v>106</v>
      </c>
      <c r="F32" s="33" t="s">
        <v>107</v>
      </c>
      <c r="G32" s="1" t="s">
        <v>135</v>
      </c>
      <c r="H32" s="1">
        <v>27.72791310471651</v>
      </c>
      <c r="I32" s="75">
        <v>99</v>
      </c>
      <c r="J32" s="33">
        <v>11</v>
      </c>
      <c r="P32" s="20"/>
      <c r="Q32" s="20"/>
      <c r="R32" s="20"/>
      <c r="S32" s="20"/>
      <c r="T32" s="20"/>
      <c r="U32" s="20"/>
      <c r="V32" s="20"/>
      <c r="Y32" s="20"/>
    </row>
    <row r="33" spans="1:25" x14ac:dyDescent="0.2">
      <c r="A33" s="1">
        <v>2024</v>
      </c>
      <c r="B33" s="20" t="s">
        <v>43</v>
      </c>
      <c r="C33" s="1" t="s">
        <v>103</v>
      </c>
      <c r="D33" s="1" t="s">
        <v>105</v>
      </c>
      <c r="E33" s="2" t="s">
        <v>106</v>
      </c>
      <c r="F33" s="33" t="s">
        <v>107</v>
      </c>
      <c r="G33" s="1" t="s">
        <v>109</v>
      </c>
      <c r="H33" s="1">
        <v>38.315747206555812</v>
      </c>
      <c r="I33" s="20">
        <v>145</v>
      </c>
      <c r="J33" s="33">
        <v>35</v>
      </c>
      <c r="P33" s="20"/>
      <c r="Q33" s="20"/>
      <c r="R33" s="20"/>
      <c r="S33" s="20"/>
      <c r="T33" s="20"/>
      <c r="U33" s="20"/>
      <c r="V33" s="20"/>
      <c r="Y33" s="20"/>
    </row>
    <row r="34" spans="1:25" x14ac:dyDescent="0.2">
      <c r="A34" s="1">
        <v>2024</v>
      </c>
      <c r="B34" s="20" t="s">
        <v>11</v>
      </c>
      <c r="C34" s="1" t="s">
        <v>103</v>
      </c>
      <c r="D34" s="1"/>
      <c r="E34" s="2" t="s">
        <v>106</v>
      </c>
      <c r="F34" s="33" t="s">
        <v>107</v>
      </c>
      <c r="G34" s="1" t="s">
        <v>109</v>
      </c>
      <c r="H34" s="1">
        <v>35.188246097337007</v>
      </c>
      <c r="I34" s="20">
        <v>78</v>
      </c>
      <c r="J34" s="33">
        <v>16</v>
      </c>
      <c r="P34" s="20"/>
      <c r="Q34" s="20"/>
      <c r="R34" s="20"/>
      <c r="S34" s="20"/>
      <c r="T34" s="20"/>
      <c r="U34" s="20"/>
      <c r="V34" s="20"/>
      <c r="Y34" s="20"/>
    </row>
    <row r="35" spans="1:25" x14ac:dyDescent="0.2">
      <c r="A35" s="1">
        <v>2024</v>
      </c>
      <c r="B35" s="20" t="s">
        <v>10</v>
      </c>
      <c r="C35" s="1" t="s">
        <v>111</v>
      </c>
      <c r="D35" s="1"/>
      <c r="E35" s="2" t="s">
        <v>106</v>
      </c>
      <c r="F35" s="33" t="s">
        <v>107</v>
      </c>
      <c r="G35" s="1" t="s">
        <v>122</v>
      </c>
      <c r="H35" s="1">
        <v>24.860075488427366</v>
      </c>
      <c r="I35" s="20">
        <v>139</v>
      </c>
      <c r="J35" s="33">
        <v>11</v>
      </c>
      <c r="P35" s="20"/>
      <c r="Q35" s="20"/>
      <c r="R35" s="20"/>
      <c r="S35" s="20"/>
      <c r="T35" s="20"/>
      <c r="U35" s="20"/>
      <c r="V35" s="20"/>
      <c r="Y35" s="20"/>
    </row>
    <row r="36" spans="1:25" x14ac:dyDescent="0.2">
      <c r="A36" s="1">
        <v>2024</v>
      </c>
      <c r="B36" s="20" t="s">
        <v>41</v>
      </c>
      <c r="C36" s="1" t="s">
        <v>103</v>
      </c>
      <c r="D36" s="1" t="s">
        <v>105</v>
      </c>
      <c r="E36" s="2" t="s">
        <v>106</v>
      </c>
      <c r="F36" s="33" t="s">
        <v>107</v>
      </c>
      <c r="G36" s="1" t="s">
        <v>112</v>
      </c>
      <c r="H36" s="1">
        <v>27.88002192810713</v>
      </c>
      <c r="I36" s="20">
        <v>129</v>
      </c>
      <c r="J36" s="33">
        <v>19</v>
      </c>
      <c r="P36" s="20"/>
      <c r="Q36" s="20"/>
      <c r="R36" s="20"/>
      <c r="S36" s="20"/>
      <c r="T36" s="20"/>
      <c r="U36" s="20"/>
      <c r="V36" s="20"/>
      <c r="Y36" s="20"/>
    </row>
    <row r="37" spans="1:25" x14ac:dyDescent="0.2">
      <c r="A37" s="1">
        <v>2024</v>
      </c>
      <c r="B37" s="20" t="s">
        <v>9</v>
      </c>
      <c r="C37" s="1" t="s">
        <v>103</v>
      </c>
      <c r="D37" s="1"/>
      <c r="E37" s="2" t="s">
        <v>106</v>
      </c>
      <c r="F37" s="33" t="s">
        <v>107</v>
      </c>
      <c r="G37" s="1" t="s">
        <v>109</v>
      </c>
      <c r="H37" s="1">
        <v>21.452379029107693</v>
      </c>
      <c r="I37" s="20">
        <v>120</v>
      </c>
      <c r="J37" s="33">
        <v>17</v>
      </c>
      <c r="P37" s="20"/>
      <c r="Q37" s="20"/>
      <c r="R37" s="20"/>
      <c r="S37" s="20"/>
      <c r="T37" s="20"/>
      <c r="U37" s="20"/>
      <c r="V37" s="20"/>
      <c r="Y37" s="20"/>
    </row>
    <row r="38" spans="1:25" x14ac:dyDescent="0.2">
      <c r="A38" s="1">
        <v>2024</v>
      </c>
      <c r="B38" s="20" t="s">
        <v>8</v>
      </c>
      <c r="C38" s="1" t="s">
        <v>111</v>
      </c>
      <c r="D38" s="1"/>
      <c r="E38" s="2" t="s">
        <v>106</v>
      </c>
      <c r="F38" s="33" t="s">
        <v>116</v>
      </c>
      <c r="G38" s="1" t="s">
        <v>122</v>
      </c>
      <c r="H38" s="1">
        <v>23.079584775086509</v>
      </c>
      <c r="I38" s="20">
        <v>167</v>
      </c>
      <c r="J38" s="33">
        <v>24</v>
      </c>
      <c r="P38" s="20"/>
      <c r="Q38" s="20"/>
      <c r="R38" s="20"/>
      <c r="S38" s="20"/>
      <c r="T38" s="20"/>
      <c r="U38" s="20"/>
      <c r="V38" s="20"/>
      <c r="Y38" s="20"/>
    </row>
    <row r="39" spans="1:25" x14ac:dyDescent="0.2">
      <c r="A39" s="1">
        <v>2024</v>
      </c>
      <c r="B39" s="20" t="s">
        <v>7</v>
      </c>
      <c r="C39" s="1" t="s">
        <v>111</v>
      </c>
      <c r="D39" s="1"/>
      <c r="E39" s="2" t="s">
        <v>106</v>
      </c>
      <c r="F39" s="33" t="s">
        <v>107</v>
      </c>
      <c r="G39" s="1" t="s">
        <v>136</v>
      </c>
      <c r="H39" s="1">
        <v>23.435984852351254</v>
      </c>
      <c r="I39" s="20">
        <v>68</v>
      </c>
      <c r="J39" s="33">
        <v>7</v>
      </c>
      <c r="P39" s="20"/>
      <c r="Q39" s="20"/>
      <c r="R39" s="20"/>
      <c r="S39" s="20"/>
      <c r="T39" s="20"/>
      <c r="U39" s="20"/>
      <c r="V39" s="20"/>
      <c r="Y39" s="20"/>
    </row>
    <row r="40" spans="1:25" x14ac:dyDescent="0.2">
      <c r="A40" s="1">
        <v>2024</v>
      </c>
      <c r="B40" s="20" t="s">
        <v>40</v>
      </c>
      <c r="C40" s="1" t="s">
        <v>111</v>
      </c>
      <c r="D40" s="1" t="s">
        <v>105</v>
      </c>
      <c r="E40" s="2" t="s">
        <v>106</v>
      </c>
      <c r="F40" s="33" t="s">
        <v>116</v>
      </c>
      <c r="G40" s="1" t="s">
        <v>109</v>
      </c>
      <c r="H40" s="1">
        <v>20.682281399311702</v>
      </c>
      <c r="I40" s="20">
        <v>179</v>
      </c>
      <c r="J40" s="33">
        <v>27</v>
      </c>
      <c r="P40" s="20"/>
      <c r="Q40" s="20"/>
      <c r="R40" s="20"/>
      <c r="S40" s="20"/>
      <c r="T40" s="20"/>
      <c r="U40" s="20"/>
      <c r="V40" s="20"/>
      <c r="Y40" s="20"/>
    </row>
    <row r="41" spans="1:25" x14ac:dyDescent="0.2">
      <c r="A41" s="1">
        <v>2024</v>
      </c>
      <c r="B41" s="20" t="s">
        <v>6</v>
      </c>
      <c r="C41" s="1" t="s">
        <v>103</v>
      </c>
      <c r="D41" s="1"/>
      <c r="E41" s="2" t="s">
        <v>106</v>
      </c>
      <c r="F41" s="33" t="s">
        <v>116</v>
      </c>
      <c r="G41" s="1" t="s">
        <v>109</v>
      </c>
      <c r="H41" s="1">
        <v>24.592201931488503</v>
      </c>
      <c r="I41" s="20">
        <v>211</v>
      </c>
      <c r="J41" s="33">
        <v>35</v>
      </c>
      <c r="P41" s="20"/>
      <c r="Q41" s="20"/>
      <c r="R41" s="20"/>
      <c r="S41" s="20"/>
      <c r="T41" s="20"/>
      <c r="U41" s="20"/>
      <c r="V41" s="20"/>
      <c r="Y41" s="20"/>
    </row>
    <row r="42" spans="1:25" x14ac:dyDescent="0.2">
      <c r="A42" s="1">
        <v>2024</v>
      </c>
      <c r="B42" s="20" t="s">
        <v>5</v>
      </c>
      <c r="C42" s="1" t="s">
        <v>111</v>
      </c>
      <c r="D42" s="1"/>
      <c r="E42" s="2" t="s">
        <v>106</v>
      </c>
      <c r="F42" s="1" t="s">
        <v>107</v>
      </c>
      <c r="G42" s="1" t="s">
        <v>118</v>
      </c>
      <c r="H42" s="1">
        <v>25.785711842960232</v>
      </c>
      <c r="I42" s="20">
        <v>179</v>
      </c>
      <c r="J42" s="33">
        <v>22</v>
      </c>
      <c r="P42" s="20"/>
      <c r="Q42" s="20"/>
      <c r="R42" s="20"/>
      <c r="S42" s="20"/>
      <c r="T42" s="20"/>
      <c r="U42" s="20"/>
      <c r="V42" s="20"/>
      <c r="Y42" s="20"/>
    </row>
    <row r="43" spans="1:25" x14ac:dyDescent="0.2">
      <c r="A43" s="1">
        <v>2024</v>
      </c>
      <c r="B43" s="20" t="s">
        <v>4</v>
      </c>
      <c r="C43" s="1" t="s">
        <v>111</v>
      </c>
      <c r="D43" s="1"/>
      <c r="E43" s="2" t="s">
        <v>106</v>
      </c>
      <c r="F43" s="1" t="s">
        <v>116</v>
      </c>
      <c r="G43" s="1" t="s">
        <v>109</v>
      </c>
      <c r="H43" s="20">
        <v>26.395975056689345</v>
      </c>
      <c r="I43" s="20">
        <v>190</v>
      </c>
      <c r="J43" s="1">
        <v>27</v>
      </c>
      <c r="P43" s="20"/>
      <c r="Q43" s="20"/>
      <c r="R43" s="20"/>
      <c r="S43" s="20"/>
      <c r="T43" s="20"/>
      <c r="U43" s="20"/>
      <c r="V43" s="20"/>
      <c r="Y43" s="20"/>
    </row>
    <row r="44" spans="1:25" x14ac:dyDescent="0.2">
      <c r="A44" s="1">
        <v>2024</v>
      </c>
      <c r="B44" s="20" t="s">
        <v>3</v>
      </c>
      <c r="C44" s="1" t="s">
        <v>103</v>
      </c>
      <c r="D44" s="1"/>
      <c r="E44" s="2" t="s">
        <v>106</v>
      </c>
      <c r="F44" s="1" t="s">
        <v>116</v>
      </c>
      <c r="G44" s="1" t="s">
        <v>109</v>
      </c>
      <c r="H44" s="20">
        <v>22.390787603117349</v>
      </c>
      <c r="I44" s="20">
        <v>150</v>
      </c>
      <c r="J44" s="1">
        <v>14</v>
      </c>
      <c r="P44" s="20"/>
      <c r="Q44" s="20"/>
      <c r="R44" s="20"/>
      <c r="S44" s="20"/>
      <c r="T44" s="20"/>
      <c r="U44" s="20"/>
      <c r="V44" s="20"/>
      <c r="Y44" s="20"/>
    </row>
    <row r="45" spans="1:25" x14ac:dyDescent="0.2">
      <c r="A45" s="1">
        <v>2024</v>
      </c>
      <c r="B45" s="20" t="s">
        <v>2</v>
      </c>
      <c r="C45" s="1" t="s">
        <v>103</v>
      </c>
      <c r="D45" s="1"/>
      <c r="E45" s="2" t="s">
        <v>106</v>
      </c>
      <c r="F45" s="1" t="s">
        <v>107</v>
      </c>
      <c r="G45" s="1" t="s">
        <v>112</v>
      </c>
      <c r="H45" s="20">
        <v>23.273513859958339</v>
      </c>
      <c r="I45" s="20">
        <v>116</v>
      </c>
      <c r="J45" s="1">
        <v>24</v>
      </c>
      <c r="P45" s="20"/>
      <c r="Q45" s="20"/>
      <c r="R45" s="20"/>
      <c r="S45" s="20"/>
      <c r="T45" s="20"/>
      <c r="U45" s="20"/>
      <c r="V45" s="20"/>
      <c r="Y45" s="20"/>
    </row>
    <row r="46" spans="1:25" ht="17" x14ac:dyDescent="0.2">
      <c r="A46" s="1">
        <v>2025</v>
      </c>
      <c r="B46" s="85" t="s">
        <v>224</v>
      </c>
      <c r="C46" s="1" t="s">
        <v>103</v>
      </c>
      <c r="D46" s="1"/>
      <c r="E46" s="2" t="s">
        <v>123</v>
      </c>
      <c r="F46" s="33" t="s">
        <v>107</v>
      </c>
      <c r="G46" s="1" t="s">
        <v>122</v>
      </c>
      <c r="H46" s="82"/>
      <c r="I46" s="64">
        <v>130</v>
      </c>
      <c r="J46" s="1">
        <v>8</v>
      </c>
      <c r="P46" s="20"/>
      <c r="Q46" s="20"/>
      <c r="R46" s="20"/>
      <c r="S46" s="20"/>
      <c r="T46" s="20"/>
      <c r="U46" s="20"/>
      <c r="V46" s="20"/>
      <c r="Y46" s="20"/>
    </row>
    <row r="47" spans="1:25" ht="17" x14ac:dyDescent="0.2">
      <c r="A47" s="1">
        <v>2025</v>
      </c>
      <c r="B47" s="85" t="s">
        <v>225</v>
      </c>
      <c r="C47" s="1" t="s">
        <v>103</v>
      </c>
      <c r="D47" s="1"/>
      <c r="E47" s="2" t="s">
        <v>123</v>
      </c>
      <c r="F47" s="33" t="s">
        <v>107</v>
      </c>
      <c r="G47" s="1" t="s">
        <v>124</v>
      </c>
      <c r="H47" s="20">
        <v>26.343144374670711</v>
      </c>
      <c r="I47" s="64">
        <v>154</v>
      </c>
      <c r="J47" s="84">
        <v>0</v>
      </c>
      <c r="K47" s="33"/>
    </row>
    <row r="48" spans="1:25" ht="17" x14ac:dyDescent="0.2">
      <c r="A48" s="1">
        <v>2025</v>
      </c>
      <c r="B48" s="85" t="s">
        <v>216</v>
      </c>
      <c r="C48" s="1" t="s">
        <v>111</v>
      </c>
      <c r="D48" s="1" t="s">
        <v>105</v>
      </c>
      <c r="E48" s="2" t="s">
        <v>123</v>
      </c>
      <c r="F48" s="33" t="s">
        <v>107</v>
      </c>
      <c r="G48" s="1" t="s">
        <v>124</v>
      </c>
      <c r="H48" s="20">
        <v>25.83786770556155</v>
      </c>
      <c r="I48" s="64">
        <v>135</v>
      </c>
      <c r="J48" s="33">
        <v>17</v>
      </c>
      <c r="K48" s="33"/>
    </row>
    <row r="49" spans="1:31" ht="17" x14ac:dyDescent="0.2">
      <c r="A49" s="1">
        <v>2025</v>
      </c>
      <c r="B49" s="85" t="s">
        <v>226</v>
      </c>
      <c r="C49" s="1" t="s">
        <v>103</v>
      </c>
      <c r="D49" s="1"/>
      <c r="E49" s="2" t="s">
        <v>123</v>
      </c>
      <c r="F49" s="33" t="s">
        <v>107</v>
      </c>
      <c r="G49" s="1" t="s">
        <v>138</v>
      </c>
      <c r="H49" s="20">
        <v>23.405421048804271</v>
      </c>
      <c r="I49" s="64">
        <v>94</v>
      </c>
      <c r="J49" s="1">
        <v>15</v>
      </c>
      <c r="P49" s="37"/>
      <c r="Q49" s="37"/>
      <c r="R49" s="37"/>
      <c r="S49" s="37"/>
      <c r="T49" s="37"/>
      <c r="U49" s="37"/>
      <c r="V49" s="37"/>
      <c r="Y49" s="37"/>
      <c r="AA49" s="38"/>
      <c r="AE49" s="38"/>
    </row>
    <row r="50" spans="1:31" ht="17" x14ac:dyDescent="0.2">
      <c r="A50" s="1">
        <v>2025</v>
      </c>
      <c r="B50" s="85" t="s">
        <v>227</v>
      </c>
      <c r="C50" s="1" t="s">
        <v>103</v>
      </c>
      <c r="D50" s="1"/>
      <c r="E50" s="2" t="s">
        <v>123</v>
      </c>
      <c r="F50" s="33" t="s">
        <v>107</v>
      </c>
      <c r="G50" s="1" t="s">
        <v>125</v>
      </c>
      <c r="H50" s="20">
        <v>26.771486630703336</v>
      </c>
      <c r="I50" s="64">
        <v>111</v>
      </c>
      <c r="J50" s="1">
        <v>28</v>
      </c>
      <c r="P50" s="37"/>
      <c r="Q50" s="37"/>
      <c r="R50" s="37"/>
      <c r="S50" s="37"/>
      <c r="T50" s="37"/>
      <c r="U50" s="37"/>
      <c r="V50" s="37"/>
      <c r="Y50" s="37"/>
      <c r="AA50" s="38"/>
      <c r="AE50" s="38"/>
    </row>
    <row r="51" spans="1:31" ht="17" x14ac:dyDescent="0.2">
      <c r="A51" s="1">
        <v>2025</v>
      </c>
      <c r="B51" s="85" t="s">
        <v>217</v>
      </c>
      <c r="C51" s="1" t="s">
        <v>111</v>
      </c>
      <c r="D51" s="2" t="s">
        <v>105</v>
      </c>
      <c r="E51" s="2" t="s">
        <v>123</v>
      </c>
      <c r="F51" s="33" t="s">
        <v>116</v>
      </c>
      <c r="G51" s="1" t="s">
        <v>138</v>
      </c>
      <c r="H51" s="20">
        <v>24.292069769084108</v>
      </c>
      <c r="I51" s="64">
        <v>178</v>
      </c>
      <c r="J51" s="1">
        <v>21</v>
      </c>
      <c r="P51" s="37"/>
      <c r="Q51" s="37"/>
      <c r="R51" s="37"/>
      <c r="S51" s="37"/>
      <c r="T51" s="37"/>
      <c r="U51" s="37"/>
      <c r="V51" s="37"/>
      <c r="Y51" s="37"/>
      <c r="Z51" s="30"/>
      <c r="AA51" s="40"/>
      <c r="AE51" s="38"/>
    </row>
    <row r="52" spans="1:31" ht="17" x14ac:dyDescent="0.2">
      <c r="A52" s="1">
        <v>2025</v>
      </c>
      <c r="B52" s="85" t="s">
        <v>228</v>
      </c>
      <c r="C52" s="1" t="s">
        <v>111</v>
      </c>
      <c r="D52" s="2"/>
      <c r="E52" s="2" t="s">
        <v>123</v>
      </c>
      <c r="F52" s="33" t="s">
        <v>139</v>
      </c>
      <c r="G52" s="1" t="s">
        <v>140</v>
      </c>
      <c r="H52" s="20">
        <v>25.683340998656313</v>
      </c>
      <c r="I52" s="64">
        <v>129</v>
      </c>
      <c r="J52" s="1">
        <v>20</v>
      </c>
      <c r="P52" s="37"/>
      <c r="Q52" s="37"/>
      <c r="R52" s="37"/>
      <c r="S52" s="37"/>
      <c r="T52" s="37"/>
      <c r="U52" s="37"/>
      <c r="V52" s="37"/>
      <c r="Y52" s="37"/>
      <c r="AA52" s="38"/>
      <c r="AE52" s="38"/>
    </row>
    <row r="53" spans="1:31" ht="17" x14ac:dyDescent="0.2">
      <c r="A53" s="1">
        <v>2025</v>
      </c>
      <c r="B53" s="85" t="s">
        <v>218</v>
      </c>
      <c r="C53" s="1" t="s">
        <v>111</v>
      </c>
      <c r="D53" s="1" t="s">
        <v>105</v>
      </c>
      <c r="E53" s="2" t="s">
        <v>123</v>
      </c>
      <c r="F53" s="33" t="s">
        <v>116</v>
      </c>
      <c r="G53" s="1" t="s">
        <v>141</v>
      </c>
      <c r="H53" s="20">
        <v>30.334212533482106</v>
      </c>
      <c r="I53" s="64">
        <v>165</v>
      </c>
      <c r="J53" s="1">
        <v>23</v>
      </c>
      <c r="P53" s="37"/>
      <c r="Q53" s="37"/>
      <c r="R53" s="37"/>
      <c r="S53" s="37"/>
      <c r="T53" s="37"/>
      <c r="U53" s="37"/>
      <c r="V53" s="37"/>
      <c r="W53" s="30"/>
      <c r="Y53" s="37"/>
      <c r="AA53" s="38"/>
      <c r="AE53" s="38"/>
    </row>
    <row r="54" spans="1:31" ht="17" x14ac:dyDescent="0.2">
      <c r="A54" s="1">
        <v>2025</v>
      </c>
      <c r="B54" s="85" t="s">
        <v>229</v>
      </c>
      <c r="C54" s="1" t="s">
        <v>103</v>
      </c>
      <c r="D54" s="1"/>
      <c r="E54" s="2" t="s">
        <v>123</v>
      </c>
      <c r="F54" s="33" t="s">
        <v>139</v>
      </c>
      <c r="G54" s="1" t="s">
        <v>127</v>
      </c>
      <c r="H54" s="20">
        <v>21.696297324861501</v>
      </c>
      <c r="I54" s="64">
        <v>129</v>
      </c>
      <c r="J54" s="1">
        <v>10</v>
      </c>
      <c r="P54" s="37"/>
      <c r="Q54" s="37"/>
      <c r="R54" s="37"/>
      <c r="S54" s="37"/>
      <c r="T54" s="37"/>
      <c r="U54" s="37"/>
      <c r="V54" s="37"/>
      <c r="Y54" s="37"/>
      <c r="AA54" s="38"/>
      <c r="AE54" s="38"/>
    </row>
    <row r="55" spans="1:31" ht="17" x14ac:dyDescent="0.2">
      <c r="A55" s="1">
        <v>2025</v>
      </c>
      <c r="B55" s="85" t="s">
        <v>230</v>
      </c>
      <c r="C55" s="1" t="s">
        <v>103</v>
      </c>
      <c r="D55" s="1"/>
      <c r="E55" s="1" t="s">
        <v>123</v>
      </c>
      <c r="F55" s="33" t="s">
        <v>107</v>
      </c>
      <c r="G55" s="1" t="s">
        <v>124</v>
      </c>
      <c r="H55" s="20">
        <v>20.895355521470655</v>
      </c>
      <c r="I55" s="64">
        <v>104</v>
      </c>
      <c r="J55" s="1">
        <v>17</v>
      </c>
      <c r="P55" s="37"/>
      <c r="Q55" s="37"/>
      <c r="R55" s="37"/>
      <c r="S55" s="37"/>
      <c r="T55" s="37"/>
      <c r="U55" s="37"/>
      <c r="V55" s="37"/>
      <c r="Y55" s="37"/>
      <c r="AA55" s="38"/>
      <c r="AE55" s="38"/>
    </row>
    <row r="56" spans="1:31" ht="17" x14ac:dyDescent="0.2">
      <c r="A56" s="1">
        <v>2025</v>
      </c>
      <c r="B56" s="85" t="s">
        <v>231</v>
      </c>
      <c r="C56" s="1" t="s">
        <v>103</v>
      </c>
      <c r="D56" s="1"/>
      <c r="E56" s="1" t="s">
        <v>123</v>
      </c>
      <c r="F56" s="33" t="s">
        <v>107</v>
      </c>
      <c r="G56" s="1" t="s">
        <v>124</v>
      </c>
      <c r="H56" s="20">
        <v>29.029180758276969</v>
      </c>
      <c r="I56" s="64">
        <v>124</v>
      </c>
      <c r="J56" s="1">
        <v>9</v>
      </c>
      <c r="P56" s="37"/>
      <c r="Q56" s="37"/>
      <c r="R56" s="37"/>
      <c r="S56" s="37"/>
      <c r="T56" s="37"/>
      <c r="U56" s="37"/>
      <c r="V56" s="37"/>
      <c r="Y56" s="37"/>
      <c r="Z56" s="30"/>
      <c r="AA56" s="40"/>
      <c r="AE56" s="38"/>
    </row>
    <row r="57" spans="1:31" ht="17" x14ac:dyDescent="0.2">
      <c r="A57" s="1">
        <v>2025</v>
      </c>
      <c r="B57" s="85" t="s">
        <v>232</v>
      </c>
      <c r="C57" s="1" t="s">
        <v>111</v>
      </c>
      <c r="D57" s="1"/>
      <c r="E57" s="1" t="s">
        <v>123</v>
      </c>
      <c r="F57" s="33" t="s">
        <v>121</v>
      </c>
      <c r="G57" s="1" t="s">
        <v>127</v>
      </c>
      <c r="H57" s="20">
        <v>22.931411867453086</v>
      </c>
      <c r="I57" s="64">
        <v>127</v>
      </c>
      <c r="J57" s="33">
        <v>16</v>
      </c>
      <c r="P57" s="42"/>
      <c r="Q57" s="37"/>
      <c r="R57" s="37"/>
      <c r="S57" s="37"/>
      <c r="T57" s="37"/>
      <c r="U57" s="37"/>
      <c r="V57" s="37"/>
      <c r="Y57" s="37"/>
      <c r="Z57" s="43"/>
      <c r="AA57" s="44"/>
    </row>
    <row r="58" spans="1:31" ht="17" x14ac:dyDescent="0.2">
      <c r="A58" s="1">
        <v>2025</v>
      </c>
      <c r="B58" s="85" t="s">
        <v>233</v>
      </c>
      <c r="C58" s="1" t="s">
        <v>103</v>
      </c>
      <c r="D58" s="1"/>
      <c r="E58" s="1" t="s">
        <v>106</v>
      </c>
      <c r="F58" s="33" t="s">
        <v>107</v>
      </c>
      <c r="G58" s="1" t="s">
        <v>109</v>
      </c>
      <c r="H58" s="20">
        <v>24.37168686593915</v>
      </c>
      <c r="I58" s="64">
        <v>158</v>
      </c>
      <c r="J58" s="1">
        <v>1</v>
      </c>
      <c r="P58" s="37"/>
      <c r="Q58" s="37"/>
      <c r="R58" s="37"/>
      <c r="S58" s="37"/>
      <c r="T58" s="37"/>
      <c r="U58" s="37"/>
      <c r="V58" s="37"/>
      <c r="Y58" s="37"/>
      <c r="AA58" s="38"/>
      <c r="AE58" s="38"/>
    </row>
    <row r="59" spans="1:31" ht="17" x14ac:dyDescent="0.2">
      <c r="A59" s="1">
        <v>2025</v>
      </c>
      <c r="B59" s="85" t="s">
        <v>219</v>
      </c>
      <c r="C59" s="1" t="s">
        <v>111</v>
      </c>
      <c r="D59" s="1" t="s">
        <v>105</v>
      </c>
      <c r="E59" s="1" t="s">
        <v>106</v>
      </c>
      <c r="F59" s="33" t="s">
        <v>116</v>
      </c>
      <c r="G59" s="1" t="s">
        <v>109</v>
      </c>
      <c r="H59" s="20">
        <v>39.514462809917362</v>
      </c>
      <c r="I59" s="64">
        <v>127</v>
      </c>
      <c r="J59" s="1">
        <v>9</v>
      </c>
      <c r="P59" s="37"/>
      <c r="Q59" s="37"/>
      <c r="R59" s="37"/>
      <c r="S59" s="37"/>
      <c r="T59" s="37"/>
      <c r="U59" s="37"/>
      <c r="V59" s="37"/>
      <c r="Y59" s="37"/>
      <c r="AA59" s="38"/>
      <c r="AE59" s="38"/>
    </row>
    <row r="60" spans="1:31" ht="17" x14ac:dyDescent="0.2">
      <c r="A60" s="1">
        <v>2025</v>
      </c>
      <c r="B60" s="85" t="s">
        <v>234</v>
      </c>
      <c r="C60" s="1" t="s">
        <v>111</v>
      </c>
      <c r="D60" s="1"/>
      <c r="E60" s="1" t="s">
        <v>106</v>
      </c>
      <c r="F60" s="33" t="s">
        <v>116</v>
      </c>
      <c r="G60" s="1" t="s">
        <v>127</v>
      </c>
      <c r="H60" s="20">
        <v>34.305693610441644</v>
      </c>
      <c r="I60" s="64">
        <v>130</v>
      </c>
      <c r="J60" s="1">
        <v>26</v>
      </c>
      <c r="P60" s="37"/>
      <c r="Q60" s="37"/>
      <c r="R60" s="37"/>
      <c r="S60" s="37"/>
      <c r="T60" s="37"/>
      <c r="U60" s="37"/>
      <c r="V60" s="37"/>
      <c r="Y60" s="37"/>
      <c r="AE60" s="38"/>
    </row>
    <row r="61" spans="1:31" ht="17" x14ac:dyDescent="0.2">
      <c r="A61" s="1">
        <v>2025</v>
      </c>
      <c r="B61" s="85" t="s">
        <v>235</v>
      </c>
      <c r="C61" s="1" t="s">
        <v>103</v>
      </c>
      <c r="D61" s="1"/>
      <c r="E61" s="1" t="s">
        <v>106</v>
      </c>
      <c r="F61" s="33" t="s">
        <v>116</v>
      </c>
      <c r="G61" s="1" t="s">
        <v>109</v>
      </c>
      <c r="H61" s="20">
        <v>24.853589915766385</v>
      </c>
      <c r="I61" s="64">
        <v>141</v>
      </c>
      <c r="J61" s="1">
        <v>22</v>
      </c>
      <c r="P61" s="42"/>
      <c r="Q61" s="37"/>
      <c r="R61" s="37"/>
      <c r="S61" s="37"/>
      <c r="T61" s="37"/>
      <c r="U61" s="37"/>
      <c r="V61" s="37"/>
      <c r="Y61" s="37"/>
      <c r="Z61" s="43"/>
      <c r="AA61" s="44"/>
    </row>
    <row r="62" spans="1:31" ht="17" x14ac:dyDescent="0.2">
      <c r="A62" s="1">
        <v>2025</v>
      </c>
      <c r="B62" s="85" t="s">
        <v>236</v>
      </c>
      <c r="C62" s="1" t="s">
        <v>103</v>
      </c>
      <c r="D62" s="1"/>
      <c r="E62" s="1" t="s">
        <v>106</v>
      </c>
      <c r="F62" s="33" t="s">
        <v>107</v>
      </c>
      <c r="G62" s="1" t="s">
        <v>127</v>
      </c>
      <c r="H62" s="20">
        <v>22.915749733558936</v>
      </c>
      <c r="I62" s="64">
        <v>86</v>
      </c>
      <c r="J62" s="1">
        <v>20</v>
      </c>
      <c r="P62" s="37"/>
      <c r="Q62" s="37"/>
      <c r="R62" s="37"/>
      <c r="S62" s="37"/>
      <c r="T62" s="37"/>
      <c r="U62" s="37"/>
      <c r="V62" s="37"/>
      <c r="Y62" s="37"/>
      <c r="AA62" s="38"/>
      <c r="AE62" s="38"/>
    </row>
    <row r="63" spans="1:31" ht="17" x14ac:dyDescent="0.2">
      <c r="A63" s="1">
        <v>2025</v>
      </c>
      <c r="B63" s="85" t="s">
        <v>237</v>
      </c>
      <c r="C63" s="1" t="s">
        <v>103</v>
      </c>
      <c r="D63" s="1"/>
      <c r="E63" s="1" t="s">
        <v>106</v>
      </c>
      <c r="F63" s="33" t="s">
        <v>107</v>
      </c>
      <c r="G63" s="1" t="s">
        <v>109</v>
      </c>
      <c r="H63" s="20">
        <v>26.067625228584749</v>
      </c>
      <c r="I63" s="64">
        <v>37</v>
      </c>
      <c r="J63" s="1">
        <v>16</v>
      </c>
      <c r="P63" s="37"/>
      <c r="Q63" s="37"/>
      <c r="R63" s="37"/>
      <c r="S63" s="37"/>
      <c r="T63" s="37"/>
      <c r="U63" s="37"/>
      <c r="V63" s="37"/>
      <c r="Y63" s="37"/>
      <c r="AA63" s="38"/>
      <c r="AE63" s="38"/>
    </row>
    <row r="64" spans="1:31" ht="17" x14ac:dyDescent="0.2">
      <c r="A64" s="1">
        <v>2025</v>
      </c>
      <c r="B64" s="85" t="s">
        <v>220</v>
      </c>
      <c r="C64" s="1" t="s">
        <v>111</v>
      </c>
      <c r="D64" s="61" t="s">
        <v>105</v>
      </c>
      <c r="E64" s="1" t="s">
        <v>106</v>
      </c>
      <c r="F64" s="33" t="s">
        <v>107</v>
      </c>
      <c r="G64" s="1" t="s">
        <v>122</v>
      </c>
      <c r="H64" s="20">
        <v>21.449774968878675</v>
      </c>
      <c r="I64" s="83">
        <v>0</v>
      </c>
      <c r="J64" s="1">
        <v>32</v>
      </c>
      <c r="P64" s="37"/>
      <c r="Q64" s="37"/>
      <c r="R64" s="37"/>
      <c r="S64" s="37"/>
      <c r="T64" s="37"/>
      <c r="U64" s="37"/>
      <c r="V64" s="37"/>
      <c r="Y64" s="37"/>
      <c r="AA64" s="38"/>
      <c r="AE64" s="38"/>
    </row>
    <row r="65" spans="1:31" ht="17" x14ac:dyDescent="0.2">
      <c r="A65" s="1">
        <v>2025</v>
      </c>
      <c r="B65" s="85" t="s">
        <v>238</v>
      </c>
      <c r="C65" s="1" t="s">
        <v>103</v>
      </c>
      <c r="D65" s="1"/>
      <c r="E65" s="1" t="s">
        <v>106</v>
      </c>
      <c r="F65" s="33" t="s">
        <v>116</v>
      </c>
      <c r="G65" s="1" t="s">
        <v>109</v>
      </c>
      <c r="H65" s="20">
        <v>35.533722973215248</v>
      </c>
      <c r="I65" s="64">
        <v>142</v>
      </c>
      <c r="J65" s="1">
        <v>12</v>
      </c>
      <c r="P65" s="37"/>
      <c r="Q65" s="37"/>
      <c r="R65" s="37"/>
      <c r="S65" s="37"/>
      <c r="T65" s="37"/>
      <c r="U65" s="37"/>
      <c r="V65" s="37"/>
      <c r="Y65" s="37"/>
      <c r="Z65" s="30"/>
      <c r="AA65" s="40"/>
      <c r="AE65" s="38"/>
    </row>
    <row r="66" spans="1:31" ht="17" x14ac:dyDescent="0.2">
      <c r="A66" s="1">
        <v>2025</v>
      </c>
      <c r="B66" s="85" t="s">
        <v>239</v>
      </c>
      <c r="C66" s="1" t="s">
        <v>103</v>
      </c>
      <c r="D66" s="1"/>
      <c r="E66" s="1" t="s">
        <v>106</v>
      </c>
      <c r="F66" s="33" t="s">
        <v>116</v>
      </c>
      <c r="G66" s="33" t="s">
        <v>145</v>
      </c>
      <c r="H66" s="20">
        <v>24.931049499201627</v>
      </c>
      <c r="I66" s="64">
        <v>130</v>
      </c>
      <c r="J66" s="1">
        <v>21</v>
      </c>
      <c r="P66" s="42"/>
      <c r="Q66" s="37"/>
      <c r="R66" s="37"/>
      <c r="S66" s="37"/>
      <c r="T66" s="37"/>
      <c r="U66" s="37"/>
      <c r="V66" s="37"/>
      <c r="Y66" s="37"/>
    </row>
    <row r="67" spans="1:31" ht="17" x14ac:dyDescent="0.2">
      <c r="A67" s="1">
        <v>2025</v>
      </c>
      <c r="B67" s="85" t="s">
        <v>221</v>
      </c>
      <c r="C67" s="1" t="s">
        <v>111</v>
      </c>
      <c r="D67" s="2" t="s">
        <v>105</v>
      </c>
      <c r="E67" s="1" t="s">
        <v>106</v>
      </c>
      <c r="F67" s="33" t="s">
        <v>116</v>
      </c>
      <c r="G67" s="1" t="s">
        <v>109</v>
      </c>
      <c r="H67" s="20">
        <v>29.428067523305621</v>
      </c>
      <c r="I67" s="64">
        <v>67</v>
      </c>
      <c r="J67" s="1">
        <v>29</v>
      </c>
      <c r="P67" s="37"/>
      <c r="Q67" s="37"/>
      <c r="R67" s="37"/>
      <c r="S67" s="37"/>
      <c r="T67" s="37"/>
      <c r="U67" s="37"/>
      <c r="V67" s="37"/>
      <c r="Y67" s="37"/>
      <c r="AE67" s="38"/>
    </row>
    <row r="68" spans="1:31" ht="17" x14ac:dyDescent="0.2">
      <c r="A68" s="1">
        <v>2025</v>
      </c>
      <c r="B68" s="85" t="s">
        <v>240</v>
      </c>
      <c r="C68" s="1" t="s">
        <v>103</v>
      </c>
      <c r="D68" s="1"/>
      <c r="E68" s="1" t="s">
        <v>106</v>
      </c>
      <c r="F68" s="33" t="s">
        <v>107</v>
      </c>
      <c r="G68" s="1" t="s">
        <v>109</v>
      </c>
      <c r="H68" s="20">
        <v>29.649659216791274</v>
      </c>
      <c r="I68" s="64">
        <v>169</v>
      </c>
      <c r="J68" s="33">
        <v>25</v>
      </c>
      <c r="P68" s="37"/>
      <c r="Q68" s="37"/>
      <c r="R68" s="37"/>
      <c r="S68" s="37"/>
      <c r="T68" s="37"/>
      <c r="U68" s="37"/>
      <c r="V68" s="37"/>
      <c r="Y68" s="37"/>
      <c r="AA68" s="38"/>
      <c r="AE68" s="38"/>
    </row>
    <row r="69" spans="1:31" ht="17" x14ac:dyDescent="0.2">
      <c r="A69" s="1">
        <v>2025</v>
      </c>
      <c r="B69" s="85" t="s">
        <v>241</v>
      </c>
      <c r="C69" s="1" t="s">
        <v>103</v>
      </c>
      <c r="D69" s="1"/>
      <c r="E69" s="1" t="s">
        <v>106</v>
      </c>
      <c r="F69" s="33" t="s">
        <v>116</v>
      </c>
      <c r="G69" s="45" t="s">
        <v>109</v>
      </c>
      <c r="H69" s="20">
        <v>23.117233192177178</v>
      </c>
      <c r="I69" s="64">
        <v>111</v>
      </c>
      <c r="J69" s="1">
        <v>25</v>
      </c>
      <c r="P69" s="37"/>
      <c r="Q69" s="37"/>
      <c r="R69" s="37"/>
      <c r="S69" s="37"/>
      <c r="T69" s="37"/>
      <c r="U69" s="37"/>
      <c r="V69" s="37"/>
      <c r="W69" s="30"/>
      <c r="Y69" s="37"/>
      <c r="AA69" s="38"/>
      <c r="AE69" s="38"/>
    </row>
    <row r="70" spans="1:31" ht="17" x14ac:dyDescent="0.2">
      <c r="A70" s="1">
        <v>2025</v>
      </c>
      <c r="B70" s="85" t="s">
        <v>222</v>
      </c>
      <c r="C70" s="1" t="s">
        <v>111</v>
      </c>
      <c r="D70" s="1" t="s">
        <v>105</v>
      </c>
      <c r="E70" s="1" t="s">
        <v>106</v>
      </c>
      <c r="F70" s="33" t="s">
        <v>116</v>
      </c>
      <c r="G70" s="1" t="s">
        <v>146</v>
      </c>
      <c r="H70" s="20">
        <v>23.738026286478057</v>
      </c>
      <c r="I70" s="64">
        <v>102</v>
      </c>
      <c r="J70" s="1">
        <v>28</v>
      </c>
      <c r="P70" s="37"/>
      <c r="Q70" s="37"/>
      <c r="R70" s="37"/>
      <c r="S70" s="37"/>
      <c r="T70" s="37"/>
      <c r="U70" s="37"/>
      <c r="V70" s="37"/>
      <c r="W70" s="33"/>
      <c r="Y70" s="37"/>
      <c r="AA70" s="38"/>
      <c r="AE70" s="38"/>
    </row>
    <row r="71" spans="1:31" ht="17" x14ac:dyDescent="0.2">
      <c r="A71" s="1">
        <v>2025</v>
      </c>
      <c r="B71" s="85" t="s">
        <v>223</v>
      </c>
      <c r="C71" s="1" t="s">
        <v>111</v>
      </c>
      <c r="D71" s="1" t="s">
        <v>105</v>
      </c>
      <c r="E71" s="1" t="s">
        <v>106</v>
      </c>
      <c r="F71" s="1" t="s">
        <v>107</v>
      </c>
      <c r="G71" s="1" t="s">
        <v>109</v>
      </c>
      <c r="H71" s="20">
        <v>32.183038543335961</v>
      </c>
      <c r="I71" s="64">
        <v>50</v>
      </c>
      <c r="J71" s="1">
        <v>9</v>
      </c>
      <c r="P71" s="37"/>
      <c r="Q71" s="37"/>
      <c r="R71" s="37"/>
      <c r="S71" s="37"/>
      <c r="T71" s="37"/>
      <c r="U71" s="37"/>
      <c r="V71" s="37"/>
      <c r="W71" s="33"/>
      <c r="Y71" s="37"/>
      <c r="AA71" s="38"/>
      <c r="AE71" s="38"/>
    </row>
    <row r="72" spans="1:31" ht="16" x14ac:dyDescent="0.2">
      <c r="D72" s="2"/>
      <c r="E72" s="1"/>
      <c r="F72" s="39"/>
      <c r="G72" s="1"/>
      <c r="J72" s="1"/>
      <c r="P72" s="37"/>
      <c r="Q72" s="37"/>
      <c r="R72" s="37"/>
      <c r="S72" s="37"/>
      <c r="T72" s="37"/>
      <c r="U72" s="37"/>
      <c r="V72" s="37"/>
      <c r="W72" s="33"/>
      <c r="Y72" s="37"/>
      <c r="AA72" s="38"/>
      <c r="AE72" s="38"/>
    </row>
    <row r="73" spans="1:31" ht="16" x14ac:dyDescent="0.2">
      <c r="D73" s="2"/>
      <c r="E73" s="1"/>
      <c r="F73" s="39"/>
      <c r="G73" s="1"/>
      <c r="J73" s="1"/>
      <c r="P73" s="42"/>
      <c r="Q73" s="37"/>
      <c r="R73" s="37"/>
      <c r="S73" s="37"/>
      <c r="T73" s="37"/>
      <c r="U73" s="37"/>
      <c r="V73" s="37"/>
      <c r="Y73" s="37"/>
    </row>
    <row r="74" spans="1:31" ht="16" x14ac:dyDescent="0.2">
      <c r="D74" s="2"/>
      <c r="E74" s="1"/>
      <c r="F74" s="39"/>
      <c r="G74" s="1"/>
      <c r="J74" s="1"/>
      <c r="P74" s="37"/>
      <c r="Q74" s="37"/>
      <c r="R74" s="37"/>
      <c r="S74" s="37"/>
      <c r="T74" s="37"/>
      <c r="U74" s="37"/>
      <c r="V74" s="37"/>
      <c r="Y74" s="37"/>
      <c r="AA74" s="38"/>
      <c r="AE74" s="38"/>
    </row>
    <row r="75" spans="1:31" x14ac:dyDescent="0.2">
      <c r="P75" s="37"/>
      <c r="Q75" s="37"/>
      <c r="R75" s="37"/>
      <c r="S75" s="37"/>
      <c r="T75" s="37"/>
      <c r="U75" s="37"/>
      <c r="V75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dropout</vt:lpstr>
      <vt:lpstr>Bakgrunn</vt:lpstr>
      <vt:lpstr>Oppmøte</vt:lpstr>
      <vt:lpstr>adherence</vt:lpstr>
      <vt:lpstr>baseline functional fitness</vt:lpstr>
      <vt:lpstr>functional fitness</vt:lpstr>
      <vt:lpstr>baseline fatigue</vt:lpstr>
      <vt:lpstr>fatigue</vt:lpstr>
      <vt:lpstr>baseline V&amp;H</vt:lpstr>
      <vt:lpstr>attrition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 Cirotzki</dc:creator>
  <cp:lastModifiedBy>Lone Cirotzki</cp:lastModifiedBy>
  <dcterms:created xsi:type="dcterms:W3CDTF">2026-02-25T10:22:01Z</dcterms:created>
  <dcterms:modified xsi:type="dcterms:W3CDTF">2026-05-09T10:13:25Z</dcterms:modified>
</cp:coreProperties>
</file>