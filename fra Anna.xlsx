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necirotzki/Documents/master/REACT/"/>
    </mc:Choice>
  </mc:AlternateContent>
  <xr:revisionPtr revIDLastSave="0" documentId="8_{C57FE850-55A7-2142-BFF4-925B31ED756E}" xr6:coauthVersionLast="47" xr6:coauthVersionMax="47" xr10:uidLastSave="{00000000-0000-0000-0000-000000000000}"/>
  <bookViews>
    <workbookView xWindow="0" yWindow="720" windowWidth="29400" windowHeight="18400" tabRatio="829" activeTab="4" xr2:uid="{5982A585-FAEA-4E59-AB14-6E4340204FD6}"/>
  </bookViews>
  <sheets>
    <sheet name="Bakgrunn" sheetId="6" r:id="rId1"/>
    <sheet name="Antropometri" sheetId="10" r:id="rId2"/>
    <sheet name="Oppmøte" sheetId="5" r:id="rId3"/>
    <sheet name="Ultralyd" sheetId="11" r:id="rId4"/>
    <sheet name="Kosthold" sheetId="9" r:id="rId5"/>
    <sheet name="Keiser" sheetId="1" r:id="rId6"/>
    <sheet name="Dexa" sheetId="7" r:id="rId7"/>
    <sheet name="Funksjonelle tester" sheetId="2" r:id="rId8"/>
    <sheet name="Chalders fatigue" sheetId="3" r:id="rId9"/>
    <sheet name="Bergs balansetest" sheetId="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88" i="5" l="1"/>
  <c r="AD83" i="5"/>
  <c r="AC79" i="5"/>
  <c r="AB79" i="5"/>
  <c r="AD79" i="5" s="1"/>
  <c r="AC78" i="5"/>
  <c r="AB78" i="5"/>
  <c r="AD78" i="5" s="1"/>
  <c r="AC68" i="5"/>
  <c r="AB68" i="5"/>
  <c r="AD68" i="5" s="1"/>
  <c r="AC67" i="5"/>
  <c r="AB67" i="5"/>
  <c r="AD67" i="5" s="1"/>
  <c r="AC77" i="5"/>
  <c r="AB77" i="5"/>
  <c r="AD77" i="5" s="1"/>
  <c r="AC66" i="5"/>
  <c r="AB66" i="5"/>
  <c r="AD66" i="5" s="1"/>
  <c r="AC65" i="5"/>
  <c r="AB65" i="5"/>
  <c r="AD65" i="5" s="1"/>
  <c r="AC76" i="5"/>
  <c r="AB76" i="5"/>
  <c r="AD76" i="5" s="1"/>
  <c r="AC64" i="5"/>
  <c r="AB64" i="5"/>
  <c r="AD64" i="5" s="1"/>
  <c r="AC63" i="5"/>
  <c r="AB63" i="5"/>
  <c r="AD63" i="5" s="1"/>
  <c r="AC62" i="5"/>
  <c r="AB62" i="5"/>
  <c r="AD62" i="5" s="1"/>
  <c r="AC75" i="5"/>
  <c r="AB75" i="5"/>
  <c r="AD75" i="5" s="1"/>
  <c r="AC74" i="5"/>
  <c r="AB74" i="5"/>
  <c r="AD74" i="5" s="1"/>
  <c r="AC61" i="5"/>
  <c r="AB61" i="5"/>
  <c r="AD61" i="5" s="1"/>
  <c r="AC73" i="5"/>
  <c r="AB73" i="5"/>
  <c r="AD73" i="5" s="1"/>
  <c r="AC60" i="5"/>
  <c r="AB60" i="5"/>
  <c r="AD60" i="5" s="1"/>
  <c r="AC59" i="5"/>
  <c r="AB59" i="5"/>
  <c r="AD59" i="5" s="1"/>
  <c r="AC58" i="5"/>
  <c r="AB58" i="5"/>
  <c r="AD58" i="5" s="1"/>
  <c r="AC72" i="5"/>
  <c r="AB72" i="5"/>
  <c r="AD72" i="5" s="1"/>
  <c r="AC71" i="5"/>
  <c r="AB71" i="5"/>
  <c r="AD71" i="5" s="1"/>
  <c r="AC70" i="5"/>
  <c r="AB70" i="5"/>
  <c r="AD70" i="5" s="1"/>
  <c r="AC57" i="5"/>
  <c r="AB57" i="5"/>
  <c r="AD57" i="5" s="1"/>
  <c r="AC56" i="5"/>
  <c r="AB56" i="5"/>
  <c r="AD56" i="5" s="1"/>
  <c r="AC69" i="5"/>
  <c r="AB69" i="5"/>
  <c r="AD69" i="5" s="1"/>
  <c r="AC55" i="5"/>
  <c r="AB55" i="5"/>
  <c r="AD55" i="5" s="1"/>
  <c r="AC54" i="5"/>
  <c r="AB54" i="5"/>
  <c r="AD54" i="5" s="1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83" i="10"/>
  <c r="T87" i="3"/>
  <c r="R82" i="3"/>
  <c r="S82" i="3"/>
  <c r="T82" i="3" s="1"/>
  <c r="R83" i="3"/>
  <c r="S83" i="3"/>
  <c r="T83" i="3" s="1"/>
  <c r="R84" i="3"/>
  <c r="S84" i="3"/>
  <c r="T84" i="3" s="1"/>
  <c r="R85" i="3"/>
  <c r="S85" i="3"/>
  <c r="T85" i="3"/>
  <c r="R86" i="3"/>
  <c r="S86" i="3"/>
  <c r="T86" i="3"/>
  <c r="R87" i="3"/>
  <c r="S87" i="3"/>
  <c r="R88" i="3"/>
  <c r="S88" i="3"/>
  <c r="T88" i="3" s="1"/>
  <c r="R89" i="3"/>
  <c r="S89" i="3"/>
  <c r="T89" i="3" s="1"/>
  <c r="R90" i="3"/>
  <c r="S90" i="3"/>
  <c r="T90" i="3"/>
  <c r="R91" i="3"/>
  <c r="S91" i="3"/>
  <c r="T91" i="3" s="1"/>
  <c r="R92" i="3"/>
  <c r="S92" i="3"/>
  <c r="T92" i="3" s="1"/>
  <c r="R93" i="3"/>
  <c r="S93" i="3"/>
  <c r="T93" i="3"/>
  <c r="R94" i="3"/>
  <c r="S94" i="3"/>
  <c r="T94" i="3"/>
  <c r="R95" i="3"/>
  <c r="S95" i="3"/>
  <c r="T95" i="3" s="1"/>
  <c r="R96" i="3"/>
  <c r="S96" i="3"/>
  <c r="T96" i="3" s="1"/>
  <c r="R97" i="3"/>
  <c r="S97" i="3"/>
  <c r="T97" i="3"/>
  <c r="R98" i="3"/>
  <c r="S98" i="3"/>
  <c r="T98" i="3"/>
  <c r="R99" i="3"/>
  <c r="S99" i="3"/>
  <c r="T99" i="3" s="1"/>
  <c r="R100" i="3"/>
  <c r="S100" i="3"/>
  <c r="T100" i="3" s="1"/>
  <c r="R101" i="3"/>
  <c r="S101" i="3"/>
  <c r="T101" i="3"/>
  <c r="R102" i="3"/>
  <c r="S102" i="3"/>
  <c r="T102" i="3"/>
  <c r="R103" i="3"/>
  <c r="S103" i="3"/>
  <c r="T103" i="3" s="1"/>
  <c r="R104" i="3"/>
  <c r="S104" i="3"/>
  <c r="T104" i="3" s="1"/>
  <c r="R105" i="3"/>
  <c r="S105" i="3"/>
  <c r="T105" i="3"/>
  <c r="R106" i="3"/>
  <c r="S106" i="3"/>
  <c r="T106" i="3"/>
  <c r="R107" i="3"/>
  <c r="S107" i="3"/>
  <c r="T107" i="3" s="1"/>
  <c r="R108" i="3"/>
  <c r="S108" i="3"/>
  <c r="T108" i="3" s="1"/>
  <c r="R109" i="3"/>
  <c r="S109" i="3"/>
  <c r="T109" i="3"/>
  <c r="R110" i="3"/>
  <c r="S110" i="3"/>
  <c r="T110" i="3"/>
  <c r="R111" i="3"/>
  <c r="S111" i="3"/>
  <c r="T111" i="3" s="1"/>
  <c r="R112" i="3"/>
  <c r="S112" i="3"/>
  <c r="T112" i="3" s="1"/>
  <c r="R113" i="3"/>
  <c r="S113" i="3"/>
  <c r="T113" i="3"/>
  <c r="R114" i="3"/>
  <c r="S114" i="3"/>
  <c r="T114" i="3"/>
  <c r="R115" i="3"/>
  <c r="S115" i="3"/>
  <c r="T115" i="3" s="1"/>
  <c r="R116" i="3"/>
  <c r="S116" i="3"/>
  <c r="T116" i="3" s="1"/>
  <c r="R117" i="3"/>
  <c r="S117" i="3"/>
  <c r="T117" i="3"/>
  <c r="R118" i="3"/>
  <c r="S118" i="3"/>
  <c r="T118" i="3"/>
  <c r="R119" i="3"/>
  <c r="S119" i="3"/>
  <c r="T119" i="3" s="1"/>
  <c r="R120" i="3"/>
  <c r="S120" i="3"/>
  <c r="T120" i="3" s="1"/>
  <c r="R121" i="3"/>
  <c r="S121" i="3"/>
  <c r="T121" i="3"/>
  <c r="R122" i="3"/>
  <c r="S122" i="3"/>
  <c r="T122" i="3"/>
  <c r="R123" i="3"/>
  <c r="S123" i="3"/>
  <c r="T123" i="3" s="1"/>
  <c r="R124" i="3"/>
  <c r="S124" i="3"/>
  <c r="T124" i="3" s="1"/>
  <c r="R125" i="3"/>
  <c r="S125" i="3"/>
  <c r="T125" i="3"/>
  <c r="R126" i="3"/>
  <c r="S126" i="3"/>
  <c r="T126" i="3"/>
  <c r="R127" i="3"/>
  <c r="S127" i="3"/>
  <c r="T127" i="3" s="1"/>
  <c r="R128" i="3"/>
  <c r="S128" i="3"/>
  <c r="T128" i="3" s="1"/>
  <c r="R129" i="3"/>
  <c r="S129" i="3"/>
  <c r="T129" i="3"/>
  <c r="R130" i="3"/>
  <c r="S130" i="3"/>
  <c r="T130" i="3"/>
  <c r="R131" i="3"/>
  <c r="S131" i="3"/>
  <c r="T131" i="3" s="1"/>
  <c r="R132" i="3"/>
  <c r="S132" i="3"/>
  <c r="T132" i="3" s="1"/>
  <c r="R133" i="3"/>
  <c r="S133" i="3"/>
  <c r="T133" i="3"/>
  <c r="R134" i="3"/>
  <c r="S134" i="3"/>
  <c r="T134" i="3"/>
  <c r="R135" i="3"/>
  <c r="S135" i="3"/>
  <c r="T135" i="3" s="1"/>
  <c r="R136" i="3"/>
  <c r="S136" i="3"/>
  <c r="T136" i="3" s="1"/>
  <c r="R137" i="3"/>
  <c r="S137" i="3"/>
  <c r="T137" i="3"/>
  <c r="R138" i="3"/>
  <c r="S138" i="3"/>
  <c r="T138" i="3"/>
  <c r="R139" i="3"/>
  <c r="S139" i="3"/>
  <c r="T139" i="3" s="1"/>
  <c r="R140" i="3"/>
  <c r="S140" i="3"/>
  <c r="T140" i="3" s="1"/>
  <c r="R141" i="3"/>
  <c r="S141" i="3"/>
  <c r="T141" i="3"/>
  <c r="R142" i="3"/>
  <c r="S142" i="3"/>
  <c r="T142" i="3"/>
  <c r="R143" i="3"/>
  <c r="S143" i="3"/>
  <c r="T143" i="3" s="1"/>
  <c r="R144" i="3"/>
  <c r="S144" i="3"/>
  <c r="T144" i="3" s="1"/>
  <c r="R145" i="3"/>
  <c r="S145" i="3"/>
  <c r="T145" i="3"/>
  <c r="R146" i="3"/>
  <c r="S146" i="3"/>
  <c r="T146" i="3"/>
  <c r="R147" i="3"/>
  <c r="S147" i="3"/>
  <c r="T147" i="3" s="1"/>
  <c r="R148" i="3"/>
  <c r="S148" i="3"/>
  <c r="T148" i="3" s="1"/>
  <c r="R149" i="3"/>
  <c r="S149" i="3"/>
  <c r="T149" i="3"/>
  <c r="R150" i="3"/>
  <c r="S150" i="3"/>
  <c r="T150" i="3"/>
  <c r="R151" i="3"/>
  <c r="S151" i="3"/>
  <c r="T151" i="3" s="1"/>
  <c r="R152" i="3"/>
  <c r="S152" i="3"/>
  <c r="T152" i="3" s="1"/>
  <c r="R153" i="3"/>
  <c r="S153" i="3"/>
  <c r="T153" i="3"/>
  <c r="R154" i="3"/>
  <c r="S154" i="3"/>
  <c r="T154" i="3"/>
  <c r="R155" i="3"/>
  <c r="S155" i="3"/>
  <c r="T155" i="3" s="1"/>
  <c r="R156" i="3"/>
  <c r="S156" i="3"/>
  <c r="T156" i="3" s="1"/>
  <c r="R157" i="3"/>
  <c r="S157" i="3"/>
  <c r="T157" i="3"/>
  <c r="R158" i="3"/>
  <c r="S158" i="3"/>
  <c r="T158" i="3"/>
  <c r="R159" i="3"/>
  <c r="S159" i="3"/>
  <c r="T159" i="3" s="1"/>
  <c r="R160" i="3"/>
  <c r="S160" i="3"/>
  <c r="T160" i="3" s="1"/>
  <c r="R161" i="3"/>
  <c r="S161" i="3"/>
  <c r="T161" i="3"/>
  <c r="R162" i="3"/>
  <c r="S162" i="3"/>
  <c r="T162" i="3"/>
  <c r="R163" i="3"/>
  <c r="S163" i="3"/>
  <c r="T163" i="3" s="1"/>
  <c r="R164" i="3"/>
  <c r="S164" i="3"/>
  <c r="T164" i="3"/>
  <c r="R165" i="3"/>
  <c r="S165" i="3"/>
  <c r="T165" i="3"/>
  <c r="R166" i="3"/>
  <c r="S166" i="3"/>
  <c r="T166" i="3"/>
  <c r="R167" i="3"/>
  <c r="S167" i="3"/>
  <c r="T167" i="3" s="1"/>
  <c r="R168" i="3"/>
  <c r="S168" i="3"/>
  <c r="T168" i="3"/>
  <c r="R169" i="3"/>
  <c r="S169" i="3"/>
  <c r="T169" i="3"/>
  <c r="R170" i="3"/>
  <c r="S170" i="3"/>
  <c r="T170" i="3"/>
  <c r="R171" i="3"/>
  <c r="S171" i="3"/>
  <c r="T171" i="3" s="1"/>
  <c r="R172" i="3"/>
  <c r="S172" i="3"/>
  <c r="T172" i="3"/>
  <c r="R173" i="3"/>
  <c r="S173" i="3"/>
  <c r="T173" i="3"/>
  <c r="R174" i="3"/>
  <c r="S174" i="3"/>
  <c r="T174" i="3"/>
  <c r="R175" i="3"/>
  <c r="S175" i="3"/>
  <c r="T175" i="3" s="1"/>
  <c r="R176" i="3"/>
  <c r="S176" i="3"/>
  <c r="T176" i="3"/>
  <c r="R177" i="3"/>
  <c r="S177" i="3"/>
  <c r="T177" i="3"/>
  <c r="R178" i="3"/>
  <c r="S178" i="3"/>
  <c r="T178" i="3"/>
  <c r="R179" i="3"/>
  <c r="S179" i="3"/>
  <c r="T179" i="3" s="1"/>
  <c r="R180" i="3"/>
  <c r="S180" i="3"/>
  <c r="T180" i="3"/>
  <c r="R181" i="3"/>
  <c r="S181" i="3"/>
  <c r="T181" i="3"/>
  <c r="R182" i="3"/>
  <c r="S182" i="3"/>
  <c r="T182" i="3"/>
  <c r="R183" i="3"/>
  <c r="S183" i="3"/>
  <c r="T183" i="3" s="1"/>
  <c r="R184" i="3"/>
  <c r="S184" i="3"/>
  <c r="T184" i="3"/>
  <c r="R185" i="3"/>
  <c r="S185" i="3"/>
  <c r="T185" i="3"/>
  <c r="R186" i="3"/>
  <c r="S186" i="3"/>
  <c r="T186" i="3"/>
  <c r="R187" i="3"/>
  <c r="S187" i="3"/>
  <c r="T187" i="3" s="1"/>
  <c r="R188" i="3"/>
  <c r="S188" i="3"/>
  <c r="T188" i="3"/>
  <c r="S81" i="3"/>
  <c r="R81" i="3"/>
  <c r="T81" i="3" s="1"/>
  <c r="R169" i="4"/>
  <c r="R168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P128" i="1"/>
  <c r="O128" i="1"/>
  <c r="N128" i="1"/>
  <c r="P127" i="1"/>
  <c r="O127" i="1"/>
  <c r="N127" i="1"/>
  <c r="P126" i="1"/>
  <c r="O126" i="1"/>
  <c r="N126" i="1"/>
  <c r="P125" i="1"/>
  <c r="O125" i="1"/>
  <c r="N125" i="1"/>
  <c r="P124" i="1"/>
  <c r="O124" i="1"/>
  <c r="N124" i="1"/>
  <c r="P123" i="1"/>
  <c r="O123" i="1"/>
  <c r="N123" i="1"/>
  <c r="P122" i="1"/>
  <c r="O122" i="1"/>
  <c r="N122" i="1"/>
  <c r="P121" i="1"/>
  <c r="O121" i="1"/>
  <c r="N121" i="1"/>
  <c r="P120" i="1"/>
  <c r="O120" i="1"/>
  <c r="N120" i="1"/>
  <c r="P119" i="1"/>
  <c r="O119" i="1"/>
  <c r="N119" i="1"/>
  <c r="P118" i="1"/>
  <c r="O118" i="1"/>
  <c r="N118" i="1"/>
  <c r="P117" i="1"/>
  <c r="O117" i="1"/>
  <c r="N117" i="1"/>
  <c r="P116" i="1"/>
  <c r="O116" i="1"/>
  <c r="N116" i="1"/>
  <c r="P115" i="1"/>
  <c r="O115" i="1"/>
  <c r="N115" i="1"/>
  <c r="P114" i="1"/>
  <c r="O114" i="1"/>
  <c r="N114" i="1"/>
  <c r="P113" i="1"/>
  <c r="O113" i="1"/>
  <c r="N113" i="1"/>
  <c r="P112" i="1"/>
  <c r="O112" i="1"/>
  <c r="N112" i="1"/>
  <c r="P111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P105" i="1"/>
  <c r="O105" i="1"/>
  <c r="N105" i="1"/>
  <c r="P104" i="1"/>
  <c r="O104" i="1"/>
  <c r="N104" i="1"/>
  <c r="P103" i="1"/>
  <c r="O103" i="1"/>
  <c r="N103" i="1"/>
  <c r="P102" i="1"/>
  <c r="O102" i="1"/>
  <c r="N102" i="1"/>
  <c r="P101" i="1"/>
  <c r="O101" i="1"/>
  <c r="N101" i="1"/>
  <c r="P100" i="1"/>
  <c r="O100" i="1"/>
  <c r="N100" i="1"/>
  <c r="P98" i="1"/>
  <c r="O98" i="1"/>
  <c r="N98" i="1"/>
  <c r="P97" i="1"/>
  <c r="O97" i="1"/>
  <c r="N97" i="1"/>
  <c r="P96" i="1"/>
  <c r="O96" i="1"/>
  <c r="N96" i="1"/>
  <c r="P95" i="1"/>
  <c r="O95" i="1"/>
  <c r="N95" i="1"/>
  <c r="P94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3" i="11"/>
  <c r="O3" i="11"/>
  <c r="G44" i="10"/>
  <c r="AD87" i="5" l="1"/>
  <c r="AD89" i="5"/>
  <c r="AD82" i="5"/>
  <c r="AD84" i="5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AC47" i="5"/>
  <c r="AB47" i="5"/>
  <c r="AD47" i="5" s="1"/>
  <c r="AC46" i="5"/>
  <c r="AB46" i="5"/>
  <c r="AD46" i="5" s="1"/>
  <c r="AC45" i="5"/>
  <c r="AB45" i="5"/>
  <c r="AD45" i="5" s="1"/>
  <c r="AC44" i="5"/>
  <c r="AB44" i="5"/>
  <c r="AC43" i="5"/>
  <c r="AB43" i="5"/>
  <c r="AD43" i="5" s="1"/>
  <c r="AC42" i="5"/>
  <c r="AB42" i="5"/>
  <c r="AD42" i="5" s="1"/>
  <c r="AC41" i="5"/>
  <c r="AB41" i="5"/>
  <c r="AD41" i="5" s="1"/>
  <c r="AC40" i="5"/>
  <c r="AB40" i="5"/>
  <c r="AD40" i="5" s="1"/>
  <c r="AC39" i="5"/>
  <c r="AB39" i="5"/>
  <c r="AD39" i="5" s="1"/>
  <c r="AC38" i="5"/>
  <c r="AB38" i="5"/>
  <c r="AD38" i="5" s="1"/>
  <c r="AC37" i="5"/>
  <c r="AB37" i="5"/>
  <c r="AD37" i="5" s="1"/>
  <c r="AC36" i="5"/>
  <c r="AB36" i="5"/>
  <c r="AD36" i="5" s="1"/>
  <c r="AC35" i="5"/>
  <c r="AB35" i="5"/>
  <c r="AD35" i="5" s="1"/>
  <c r="AC34" i="5"/>
  <c r="AB34" i="5"/>
  <c r="AD34" i="5" s="1"/>
  <c r="AC33" i="5"/>
  <c r="AB33" i="5"/>
  <c r="AD33" i="5" s="1"/>
  <c r="AC32" i="5"/>
  <c r="AB32" i="5"/>
  <c r="AD32" i="5" s="1"/>
  <c r="AC31" i="5"/>
  <c r="AB31" i="5"/>
  <c r="AD31" i="5" s="1"/>
  <c r="AC30" i="5"/>
  <c r="AB30" i="5"/>
  <c r="AD30" i="5" s="1"/>
  <c r="AC29" i="5"/>
  <c r="AB29" i="5"/>
  <c r="AD29" i="5" s="1"/>
  <c r="AD28" i="5"/>
  <c r="AC28" i="5"/>
  <c r="AB28" i="5"/>
  <c r="AC27" i="5"/>
  <c r="AB27" i="5"/>
  <c r="AD27" i="5" s="1"/>
  <c r="AC26" i="5"/>
  <c r="AB26" i="5"/>
  <c r="AD26" i="5" s="1"/>
  <c r="AC25" i="5"/>
  <c r="AB25" i="5"/>
  <c r="AD25" i="5" s="1"/>
  <c r="AC24" i="5"/>
  <c r="AB24" i="5"/>
  <c r="AC23" i="5"/>
  <c r="AB23" i="5"/>
  <c r="AD23" i="5" s="1"/>
  <c r="AC22" i="5"/>
  <c r="AB22" i="5"/>
  <c r="AD22" i="5" s="1"/>
  <c r="AC21" i="5"/>
  <c r="AB21" i="5"/>
  <c r="AD21" i="5" s="1"/>
  <c r="AC20" i="5"/>
  <c r="AB20" i="5"/>
  <c r="AD20" i="5" s="1"/>
  <c r="AC19" i="5"/>
  <c r="AB19" i="5"/>
  <c r="AC18" i="5"/>
  <c r="AB18" i="5"/>
  <c r="AC17" i="5"/>
  <c r="AB17" i="5"/>
  <c r="AD17" i="5" s="1"/>
  <c r="AC16" i="5"/>
  <c r="AB16" i="5"/>
  <c r="AD16" i="5" s="1"/>
  <c r="AC15" i="5"/>
  <c r="AB15" i="5"/>
  <c r="AD15" i="5" s="1"/>
  <c r="AC14" i="5"/>
  <c r="AB14" i="5"/>
  <c r="AD14" i="5" s="1"/>
  <c r="AC13" i="5"/>
  <c r="AB13" i="5"/>
  <c r="AC12" i="5"/>
  <c r="AB12" i="5"/>
  <c r="AC11" i="5"/>
  <c r="AB11" i="5"/>
  <c r="AD11" i="5" s="1"/>
  <c r="AC10" i="5"/>
  <c r="AB10" i="5"/>
  <c r="AD10" i="5" s="1"/>
  <c r="AC9" i="5"/>
  <c r="AB9" i="5"/>
  <c r="AD9" i="5" s="1"/>
  <c r="AC8" i="5"/>
  <c r="AB8" i="5"/>
  <c r="AD8" i="5" s="1"/>
  <c r="AC7" i="5"/>
  <c r="AB7" i="5"/>
  <c r="AD7" i="5" s="1"/>
  <c r="AC6" i="5"/>
  <c r="AB6" i="5"/>
  <c r="AC5" i="5"/>
  <c r="AB5" i="5"/>
  <c r="AC4" i="5"/>
  <c r="AB4" i="5"/>
  <c r="AD4" i="5" s="1"/>
  <c r="AC3" i="5"/>
  <c r="AB3" i="5"/>
  <c r="AD3" i="5" s="1"/>
  <c r="S79" i="3"/>
  <c r="R79" i="3"/>
  <c r="S78" i="3"/>
  <c r="R78" i="3"/>
  <c r="S77" i="3"/>
  <c r="R77" i="3"/>
  <c r="S76" i="3"/>
  <c r="R76" i="3"/>
  <c r="S75" i="3"/>
  <c r="R75" i="3"/>
  <c r="S74" i="3"/>
  <c r="R74" i="3"/>
  <c r="T74" i="3" s="1"/>
  <c r="S73" i="3"/>
  <c r="R73" i="3"/>
  <c r="S72" i="3"/>
  <c r="R72" i="3"/>
  <c r="S71" i="3"/>
  <c r="R71" i="3"/>
  <c r="S70" i="3"/>
  <c r="R70" i="3"/>
  <c r="S69" i="3"/>
  <c r="R69" i="3"/>
  <c r="S68" i="3"/>
  <c r="R68" i="3"/>
  <c r="T68" i="3" s="1"/>
  <c r="S67" i="3"/>
  <c r="R67" i="3"/>
  <c r="S66" i="3"/>
  <c r="R66" i="3"/>
  <c r="T66" i="3" s="1"/>
  <c r="S65" i="3"/>
  <c r="R65" i="3"/>
  <c r="S64" i="3"/>
  <c r="R64" i="3"/>
  <c r="S63" i="3"/>
  <c r="R63" i="3"/>
  <c r="S62" i="3"/>
  <c r="R62" i="3"/>
  <c r="T62" i="3" s="1"/>
  <c r="S61" i="3"/>
  <c r="R61" i="3"/>
  <c r="S60" i="3"/>
  <c r="R60" i="3"/>
  <c r="T60" i="3" s="1"/>
  <c r="S59" i="3"/>
  <c r="R59" i="3"/>
  <c r="S58" i="3"/>
  <c r="R58" i="3"/>
  <c r="S57" i="3"/>
  <c r="R57" i="3"/>
  <c r="S56" i="3"/>
  <c r="R56" i="3"/>
  <c r="T56" i="3" s="1"/>
  <c r="S55" i="3"/>
  <c r="R55" i="3"/>
  <c r="S54" i="3"/>
  <c r="R54" i="3"/>
  <c r="T54" i="3" s="1"/>
  <c r="S53" i="3"/>
  <c r="R53" i="3"/>
  <c r="S52" i="3"/>
  <c r="R52" i="3"/>
  <c r="S51" i="3"/>
  <c r="R51" i="3"/>
  <c r="S50" i="3"/>
  <c r="R50" i="3"/>
  <c r="T50" i="3" s="1"/>
  <c r="S49" i="3"/>
  <c r="R49" i="3"/>
  <c r="S48" i="3"/>
  <c r="R48" i="3"/>
  <c r="S47" i="3"/>
  <c r="R47" i="3"/>
  <c r="S46" i="3"/>
  <c r="R46" i="3"/>
  <c r="S45" i="3"/>
  <c r="R45" i="3"/>
  <c r="S44" i="3"/>
  <c r="R44" i="3"/>
  <c r="T44" i="3" s="1"/>
  <c r="S43" i="3"/>
  <c r="R43" i="3"/>
  <c r="S42" i="3"/>
  <c r="R42" i="3"/>
  <c r="T42" i="3" s="1"/>
  <c r="S41" i="3"/>
  <c r="R41" i="3"/>
  <c r="S40" i="3"/>
  <c r="R40" i="3"/>
  <c r="S39" i="3"/>
  <c r="R39" i="3"/>
  <c r="S38" i="3"/>
  <c r="R38" i="3"/>
  <c r="T38" i="3" s="1"/>
  <c r="S37" i="3"/>
  <c r="R37" i="3"/>
  <c r="S36" i="3"/>
  <c r="R36" i="3"/>
  <c r="T36" i="3" s="1"/>
  <c r="S35" i="3"/>
  <c r="R35" i="3"/>
  <c r="S34" i="3"/>
  <c r="R34" i="3"/>
  <c r="S33" i="3"/>
  <c r="R33" i="3"/>
  <c r="S32" i="3"/>
  <c r="R32" i="3"/>
  <c r="T32" i="3" s="1"/>
  <c r="S31" i="3"/>
  <c r="R31" i="3"/>
  <c r="S30" i="3"/>
  <c r="R30" i="3"/>
  <c r="T30" i="3" s="1"/>
  <c r="S29" i="3"/>
  <c r="R29" i="3"/>
  <c r="S28" i="3"/>
  <c r="R28" i="3"/>
  <c r="S27" i="3"/>
  <c r="R27" i="3"/>
  <c r="S26" i="3"/>
  <c r="R26" i="3"/>
  <c r="T26" i="3" s="1"/>
  <c r="S25" i="3"/>
  <c r="R25" i="3"/>
  <c r="S24" i="3"/>
  <c r="R24" i="3"/>
  <c r="T24" i="3" s="1"/>
  <c r="S23" i="3"/>
  <c r="R23" i="3"/>
  <c r="S22" i="3"/>
  <c r="R22" i="3"/>
  <c r="S21" i="3"/>
  <c r="R21" i="3"/>
  <c r="S20" i="3"/>
  <c r="R20" i="3"/>
  <c r="T20" i="3" s="1"/>
  <c r="S19" i="3"/>
  <c r="R19" i="3"/>
  <c r="S18" i="3"/>
  <c r="R18" i="3"/>
  <c r="T18" i="3" s="1"/>
  <c r="S17" i="3"/>
  <c r="R17" i="3"/>
  <c r="S16" i="3"/>
  <c r="R16" i="3"/>
  <c r="S15" i="3"/>
  <c r="R15" i="3"/>
  <c r="S14" i="3"/>
  <c r="R14" i="3"/>
  <c r="T14" i="3" s="1"/>
  <c r="S13" i="3"/>
  <c r="R13" i="3"/>
  <c r="S12" i="3"/>
  <c r="R12" i="3"/>
  <c r="T12" i="3" s="1"/>
  <c r="S11" i="3"/>
  <c r="R11" i="3"/>
  <c r="S10" i="3"/>
  <c r="R10" i="3"/>
  <c r="S9" i="3"/>
  <c r="R9" i="3"/>
  <c r="S8" i="3"/>
  <c r="R8" i="3"/>
  <c r="T8" i="3" s="1"/>
  <c r="S7" i="3"/>
  <c r="R7" i="3"/>
  <c r="S6" i="3"/>
  <c r="R6" i="3"/>
  <c r="T6" i="3" s="1"/>
  <c r="S5" i="3"/>
  <c r="R5" i="3"/>
  <c r="S4" i="3"/>
  <c r="R4" i="3"/>
  <c r="S3" i="3"/>
  <c r="R3" i="3"/>
  <c r="S2" i="3"/>
  <c r="R2" i="3"/>
  <c r="T2" i="3" s="1"/>
  <c r="T11" i="3" l="1"/>
  <c r="T17" i="3"/>
  <c r="T23" i="3"/>
  <c r="T29" i="3"/>
  <c r="T35" i="3"/>
  <c r="T72" i="3"/>
  <c r="T69" i="3"/>
  <c r="T3" i="3"/>
  <c r="T16" i="3"/>
  <c r="T22" i="3"/>
  <c r="T28" i="3"/>
  <c r="T34" i="3"/>
  <c r="T40" i="3"/>
  <c r="T46" i="3"/>
  <c r="T52" i="3"/>
  <c r="T58" i="3"/>
  <c r="T64" i="3"/>
  <c r="T70" i="3"/>
  <c r="T76" i="3"/>
  <c r="AD52" i="5"/>
  <c r="AD50" i="5"/>
  <c r="AD51" i="5"/>
  <c r="T7" i="3"/>
  <c r="T31" i="3"/>
  <c r="T43" i="3"/>
  <c r="T53" i="3"/>
  <c r="T48" i="3"/>
  <c r="T10" i="3"/>
  <c r="T78" i="3"/>
  <c r="T15" i="3"/>
  <c r="T45" i="3"/>
  <c r="T49" i="3"/>
  <c r="T55" i="3"/>
  <c r="T61" i="3"/>
  <c r="T67" i="3"/>
  <c r="T73" i="3"/>
  <c r="T13" i="3"/>
  <c r="T19" i="3"/>
  <c r="T51" i="3"/>
  <c r="T57" i="3"/>
  <c r="T4" i="3"/>
  <c r="T27" i="3"/>
  <c r="T33" i="3"/>
  <c r="T39" i="3"/>
  <c r="T65" i="3"/>
  <c r="T71" i="3"/>
  <c r="T77" i="3"/>
  <c r="T9" i="3"/>
  <c r="T25" i="3"/>
  <c r="T41" i="3"/>
  <c r="T47" i="3"/>
  <c r="T63" i="3"/>
  <c r="T79" i="3"/>
  <c r="T5" i="3"/>
  <c r="T21" i="3"/>
  <c r="T37" i="3"/>
  <c r="T59" i="3"/>
  <c r="T75" i="3"/>
</calcChain>
</file>

<file path=xl/sharedStrings.xml><?xml version="1.0" encoding="utf-8"?>
<sst xmlns="http://schemas.openxmlformats.org/spreadsheetml/2006/main" count="5290" uniqueCount="572">
  <si>
    <t>Dato</t>
  </si>
  <si>
    <t>Test</t>
  </si>
  <si>
    <t>Forsøksperson</t>
  </si>
  <si>
    <t xml:space="preserve">Setestilling </t>
  </si>
  <si>
    <t xml:space="preserve">Fotplassering </t>
  </si>
  <si>
    <t>Oppvarming vekt (kg)</t>
  </si>
  <si>
    <t>1 RM</t>
  </si>
  <si>
    <t>Fmax_V (N)</t>
  </si>
  <si>
    <t>Pmax_V (W)</t>
  </si>
  <si>
    <t xml:space="preserve"> Vmax_V (M/S)</t>
  </si>
  <si>
    <t>Fmax_H (N)</t>
  </si>
  <si>
    <t>Pmax_H (W)</t>
  </si>
  <si>
    <t>Vmax_H (M/S)</t>
  </si>
  <si>
    <t>Totalt Fmax (N)</t>
  </si>
  <si>
    <t>Totalt Pmax (W)</t>
  </si>
  <si>
    <t>Totalt Vmax (M/S)</t>
  </si>
  <si>
    <t>80%test (reps)</t>
  </si>
  <si>
    <t>80% test (kg)</t>
  </si>
  <si>
    <t>Kommentar</t>
  </si>
  <si>
    <t>Pre</t>
  </si>
  <si>
    <t>011</t>
  </si>
  <si>
    <t>midt</t>
  </si>
  <si>
    <t>gjennomført 70% test og ikke 80%</t>
  </si>
  <si>
    <t>012</t>
  </si>
  <si>
    <t>Post</t>
  </si>
  <si>
    <t>70% gruppa, stoppet grunnet mange reps</t>
  </si>
  <si>
    <t>013</t>
  </si>
  <si>
    <t>014</t>
  </si>
  <si>
    <t>bunn</t>
  </si>
  <si>
    <t>015</t>
  </si>
  <si>
    <t>016</t>
  </si>
  <si>
    <t>høyt</t>
  </si>
  <si>
    <t>høy</t>
  </si>
  <si>
    <t>10RM test ble gjort på 107kg</t>
  </si>
  <si>
    <t>017</t>
  </si>
  <si>
    <t>lav</t>
  </si>
  <si>
    <t>018</t>
  </si>
  <si>
    <t>019</t>
  </si>
  <si>
    <t>020</t>
  </si>
  <si>
    <t>021</t>
  </si>
  <si>
    <t>x</t>
  </si>
  <si>
    <t>xx</t>
  </si>
  <si>
    <t>Betennelse hofte/sete</t>
  </si>
  <si>
    <t>022</t>
  </si>
  <si>
    <t>023</t>
  </si>
  <si>
    <t>024</t>
  </si>
  <si>
    <t>025</t>
  </si>
  <si>
    <t>026</t>
  </si>
  <si>
    <t>031</t>
  </si>
  <si>
    <t>032</t>
  </si>
  <si>
    <t>033</t>
  </si>
  <si>
    <t>034</t>
  </si>
  <si>
    <t>mange reps grunnet lav 1RM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</si>
  <si>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</si>
  <si>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</si>
  <si>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</si>
  <si>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</si>
  <si>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</si>
  <si>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</si>
  <si>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</si>
  <si>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</si>
  <si>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</si>
  <si>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051</t>
  </si>
  <si>
    <t>nede</t>
  </si>
  <si>
    <t>052</t>
  </si>
  <si>
    <t>skulle egt være 108 men fp justerte selv etter instilling etter testleder</t>
  </si>
  <si>
    <t>053</t>
  </si>
  <si>
    <t>054</t>
  </si>
  <si>
    <t>055</t>
  </si>
  <si>
    <t>056</t>
  </si>
  <si>
    <t>057</t>
  </si>
  <si>
    <t>vondt i knær</t>
  </si>
  <si>
    <t>058</t>
  </si>
  <si>
    <t>059</t>
  </si>
  <si>
    <t>060</t>
  </si>
  <si>
    <t>090</t>
  </si>
  <si>
    <t>091</t>
  </si>
  <si>
    <t>092</t>
  </si>
  <si>
    <t>093</t>
  </si>
  <si>
    <t>094</t>
  </si>
  <si>
    <t>095</t>
  </si>
  <si>
    <t>test</t>
  </si>
  <si>
    <t>fp</t>
  </si>
  <si>
    <t>Sliten</t>
  </si>
  <si>
    <t>Mer_hvile</t>
  </si>
  <si>
    <t>Sovnig_dosig</t>
  </si>
  <si>
    <t>Problemer_starte_oppgaver</t>
  </si>
  <si>
    <t>Mangel_overskudd</t>
  </si>
  <si>
    <t>Redusert_styrke</t>
  </si>
  <si>
    <t>Svak</t>
  </si>
  <si>
    <t>Konsentrasjon</t>
  </si>
  <si>
    <t>Forsnakking</t>
  </si>
  <si>
    <t>Vanskelig_ord</t>
  </si>
  <si>
    <t>Hukommelse</t>
  </si>
  <si>
    <t>Dersom_sliten</t>
  </si>
  <si>
    <t>Dersom_sliten_hvor_mye</t>
  </si>
  <si>
    <t>sum_1-4</t>
  </si>
  <si>
    <t>Obs</t>
  </si>
  <si>
    <t>sum_0-3</t>
  </si>
  <si>
    <t>Papir</t>
  </si>
  <si>
    <t>pre</t>
  </si>
  <si>
    <t/>
  </si>
  <si>
    <t>1 og 3</t>
  </si>
  <si>
    <t>1 og 2</t>
  </si>
  <si>
    <t>post</t>
  </si>
  <si>
    <t>Vedkommende svarte på papir og krysset av på flere alternativer</t>
  </si>
  <si>
    <t>Mangler svar</t>
  </si>
  <si>
    <t>group</t>
  </si>
  <si>
    <t>rand</t>
  </si>
  <si>
    <t>Functional tests</t>
  </si>
  <si>
    <t>Sixminsteptest</t>
  </si>
  <si>
    <t>Pushup_test</t>
  </si>
  <si>
    <t>test_time</t>
  </si>
  <si>
    <t>dato_funk</t>
  </si>
  <si>
    <t>ant_steg</t>
  </si>
  <si>
    <t>puls_6min</t>
  </si>
  <si>
    <t>puls_1min ferdig</t>
  </si>
  <si>
    <t>steptest_kommentar</t>
  </si>
  <si>
    <t>ant_pushup</t>
  </si>
  <si>
    <t>dist_hender_tommel</t>
  </si>
  <si>
    <t>pushup_kommentar</t>
  </si>
  <si>
    <t>date_func</t>
  </si>
  <si>
    <t>n_step</t>
  </si>
  <si>
    <t>steptest_comment</t>
  </si>
  <si>
    <t>n_pushup</t>
  </si>
  <si>
    <t>dist_hands_tumbs</t>
  </si>
  <si>
    <t>pushup_comments</t>
  </si>
  <si>
    <t> </t>
  </si>
  <si>
    <t>Kneprotese i venstre, betennelse i venstre skulder</t>
  </si>
  <si>
    <t>Push-ups mot vegg. Fra fot til vegg 45cm, fra gulv til hånd 114cm</t>
  </si>
  <si>
    <t>3 lag med matter under knærne</t>
  </si>
  <si>
    <t>Brukte ikke skinne på foten</t>
  </si>
  <si>
    <t>Push-ups mot vegg. Vegg til fot: 74cm, gulv til hånd 118cm</t>
  </si>
  <si>
    <t>utførte på knyttnevene</t>
  </si>
  <si>
    <t>Tommel--&gt;tommel 44cm. Vegg--&gt;fot 85cm. Gulv --&gt;hånd 125cm.</t>
  </si>
  <si>
    <t>som pre</t>
  </si>
  <si>
    <t>Litt langr unna gulvet, men STOR forbedring</t>
  </si>
  <si>
    <t>Ekstra matte under knærne pga vonde knær</t>
  </si>
  <si>
    <t>Tok ikke steptest</t>
  </si>
  <si>
    <t>Tok ikke pushups på pre</t>
  </si>
  <si>
    <t>Manuell måling</t>
  </si>
  <si>
    <t>Målt manuelt i 15 sek og ganget med 4, uten sko</t>
  </si>
  <si>
    <t>uten sko</t>
  </si>
  <si>
    <t>håndleddspuls på pulsklokke, belte funket ikke</t>
  </si>
  <si>
    <t>Puls målt manuelt</t>
  </si>
  <si>
    <t>Vært syk</t>
  </si>
  <si>
    <t>90 grader i hofta selv med instruksjon</t>
  </si>
  <si>
    <t>la hofta i gulvet selv med instruks</t>
  </si>
  <si>
    <t>På gulv og ikke mot vegg. Er litt oppe med rompa</t>
  </si>
  <si>
    <t>na</t>
  </si>
  <si>
    <t>session</t>
  </si>
  <si>
    <t>Count_Y</t>
  </si>
  <si>
    <t>Count_N</t>
  </si>
  <si>
    <t>Percent_Y</t>
  </si>
  <si>
    <t>group    week</t>
  </si>
  <si>
    <t>rand-digital</t>
  </si>
  <si>
    <t>yes</t>
  </si>
  <si>
    <t>no</t>
  </si>
  <si>
    <t>no?</t>
  </si>
  <si>
    <t>yes?</t>
  </si>
  <si>
    <t>digitalt</t>
  </si>
  <si>
    <t>rand-onsite</t>
  </si>
  <si>
    <t xml:space="preserve">no/yes(selvtrening samme type øvelse) </t>
  </si>
  <si>
    <t>Alle</t>
  </si>
  <si>
    <t>stedlig</t>
  </si>
  <si>
    <t>digital</t>
  </si>
  <si>
    <t>uklar registrering</t>
  </si>
  <si>
    <t>registrering må hentes digitalt</t>
  </si>
  <si>
    <t>Gruppe</t>
  </si>
  <si>
    <t>Gjennomsnitt</t>
  </si>
  <si>
    <t>Gjennomførte økter (%)</t>
  </si>
  <si>
    <t>time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</si>
  <si>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</si>
  <si>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</si>
  <si>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</si>
  <si>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</si>
  <si>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</si>
  <si>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</si>
  <si>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</si>
  <si>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</si>
  <si>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</si>
  <si>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</si>
  <si>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</si>
  <si>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</si>
  <si>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</si>
  <si>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</si>
  <si>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S_sum</t>
  </si>
  <si>
    <t>bbs_kvalitet_tf</t>
  </si>
  <si>
    <t>bbs_kvalitet_subjektivforbedring</t>
  </si>
  <si>
    <t>Mulig tf</t>
  </si>
  <si>
    <t xml:space="preserve">pre </t>
  </si>
  <si>
    <t>NA</t>
  </si>
  <si>
    <t>Ja</t>
  </si>
  <si>
    <t>Kosthold_matinntak</t>
  </si>
  <si>
    <t>Kosthold_antall_maltider</t>
  </si>
  <si>
    <t>Kosthold_mellommaltid</t>
  </si>
  <si>
    <t>Kosthold_mellommaltid_kommentar</t>
  </si>
  <si>
    <t>Kosthold_hvordan_innta_naering.5</t>
  </si>
  <si>
    <t>Kosthold_hvordan_innta_naering.4</t>
  </si>
  <si>
    <t>Kosthold_hvordan_innta_naering.3</t>
  </si>
  <si>
    <t>Kosthold_hvordan_innta_naering.2</t>
  </si>
  <si>
    <t>Kosthold_hvordan_innta_naering.1</t>
  </si>
  <si>
    <t>Kosthold_alkohol_uke</t>
  </si>
  <si>
    <t>Kosthold_alkohol_maned</t>
  </si>
  <si>
    <t>Kosthold_royk</t>
  </si>
  <si>
    <t>Kosthold_royk_daglig</t>
  </si>
  <si>
    <t>Kosthold_royk_av_og_til</t>
  </si>
  <si>
    <t>Fysisk_aktivitet_regelmessig</t>
  </si>
  <si>
    <t>Fysisk_aktivitet_digital</t>
  </si>
  <si>
    <t>Fysisk_aktivitet_omgangskrets</t>
  </si>
  <si>
    <t>4</t>
  </si>
  <si>
    <t>3-4</t>
  </si>
  <si>
    <t>2</t>
  </si>
  <si>
    <t>1</t>
  </si>
  <si>
    <t>0</t>
  </si>
  <si>
    <t>1-2</t>
  </si>
  <si>
    <t>5</t>
  </si>
  <si>
    <t>3</t>
  </si>
  <si>
    <t>3 til 4</t>
  </si>
  <si>
    <t>6</t>
  </si>
  <si>
    <t>Hver til annen hver time</t>
  </si>
  <si>
    <t>2 (frokost/lunsj + middag) - jeg spiser keto</t>
  </si>
  <si>
    <t>Svært varierende, fra to til fire. Gjennomsnitt tre.</t>
  </si>
  <si>
    <t>Etter trening eller andre krevende aktiviteter.</t>
  </si>
  <si>
    <t>.</t>
  </si>
  <si>
    <t>12</t>
  </si>
  <si>
    <t>Lunsj, middag</t>
  </si>
  <si>
    <t>8</t>
  </si>
  <si>
    <t>10</t>
  </si>
  <si>
    <t xml:space="preserve">3 </t>
  </si>
  <si>
    <t xml:space="preserve">Lunsj, middag, mellommåltid </t>
  </si>
  <si>
    <t>2-3</t>
  </si>
  <si>
    <t>6-9</t>
  </si>
  <si>
    <t xml:space="preserve">3-4 måltider </t>
  </si>
  <si>
    <t xml:space="preserve">Sjelden men, litt småspising </t>
  </si>
  <si>
    <t>3-5 glass vin</t>
  </si>
  <si>
    <t xml:space="preserve">15-20 glass. </t>
  </si>
  <si>
    <t>2 (noen ganger 3)</t>
  </si>
  <si>
    <t>0-1</t>
  </si>
  <si>
    <t>7</t>
  </si>
  <si>
    <t>En gang mellom lunsj og middag</t>
  </si>
  <si>
    <t>Et par ganger i uka</t>
  </si>
  <si>
    <t>Ikke veldig ofte, kan evt være når jeg har måttet hoppe over et stort måltid</t>
  </si>
  <si>
    <t>5-8</t>
  </si>
  <si>
    <t>Blir evt bare 1 på en fest - ikke hver eneste fest, spørs når jeg får lyst til det</t>
  </si>
  <si>
    <t>Ingen</t>
  </si>
  <si>
    <t>1/2l</t>
  </si>
  <si>
    <t>18</t>
  </si>
  <si>
    <t>2-4</t>
  </si>
  <si>
    <t>4 noen ganger 5</t>
  </si>
  <si>
    <t>Maks1</t>
  </si>
  <si>
    <t xml:space="preserve">1-2 ganger om dagen </t>
  </si>
  <si>
    <t>Av og til</t>
  </si>
  <si>
    <t>0-0,5. Vanlivis ingenting</t>
  </si>
  <si>
    <t>1-1,5. Ofte ingenting.</t>
  </si>
  <si>
    <t xml:space="preserve">2 lette måltider, frukt , yoghurt </t>
  </si>
  <si>
    <t>Veldig lite, nesten null</t>
  </si>
  <si>
    <t>En til to</t>
  </si>
  <si>
    <t>1-2 pr fag</t>
  </si>
  <si>
    <t>To måltider pr dag.</t>
  </si>
  <si>
    <t xml:space="preserve">Frukt 1-2 ganger om dagen </t>
  </si>
  <si>
    <t xml:space="preserve">Pils </t>
  </si>
  <si>
    <t>2-4 pils i månen</t>
  </si>
  <si>
    <t>Varierer. 2-3 ganger</t>
  </si>
  <si>
    <t>0-5</t>
  </si>
  <si>
    <t>0-12</t>
  </si>
  <si>
    <t>0 - 1</t>
  </si>
  <si>
    <t>Datakilde</t>
  </si>
  <si>
    <t>TSD</t>
  </si>
  <si>
    <t>1-2 (velger gjennomsnitt 1.5)</t>
  </si>
  <si>
    <t>har ikke drukket alkohol i år</t>
  </si>
  <si>
    <t>0-1(velger gjennomsnitt 0.5)</t>
  </si>
  <si>
    <t xml:space="preserve">na </t>
  </si>
  <si>
    <t>3-4 (velger gjennomsnitt 3.5)</t>
  </si>
  <si>
    <t>frukt av og til</t>
  </si>
  <si>
    <t>sjelden</t>
  </si>
  <si>
    <t>Kosthold_alkohol_kommentar</t>
  </si>
  <si>
    <t>evt frukt</t>
  </si>
  <si>
    <t>i varierende grad, oftest på kveld</t>
  </si>
  <si>
    <t>bruker snus daglig</t>
  </si>
  <si>
    <t>Brystkreft</t>
  </si>
  <si>
    <t>Lymfekreft</t>
  </si>
  <si>
    <t>Testikkelkreft</t>
  </si>
  <si>
    <t>Lungekreft</t>
  </si>
  <si>
    <t>Prostata</t>
  </si>
  <si>
    <t>Kreftbehandling.1</t>
  </si>
  <si>
    <t>Kreftbehandling.2</t>
  </si>
  <si>
    <t>Kreftbehandling.3</t>
  </si>
  <si>
    <t>Kreftbehandling.4</t>
  </si>
  <si>
    <t>Kreftbehandling.5</t>
  </si>
  <si>
    <t>Kreftbehandling.6</t>
  </si>
  <si>
    <t>Kreftbehandling.7</t>
  </si>
  <si>
    <t>cellegift</t>
  </si>
  <si>
    <t>stråling</t>
  </si>
  <si>
    <t>immunterapi</t>
  </si>
  <si>
    <t>kirurgi</t>
  </si>
  <si>
    <t>stamcellebehandling</t>
  </si>
  <si>
    <t>legemidler</t>
  </si>
  <si>
    <t>annet</t>
  </si>
  <si>
    <t>Nei</t>
  </si>
  <si>
    <t>Kreftmedisin_JaNei</t>
  </si>
  <si>
    <t>Annet</t>
  </si>
  <si>
    <t>Munn og svelg</t>
  </si>
  <si>
    <t>Gynkreft</t>
  </si>
  <si>
    <t>Melanom</t>
  </si>
  <si>
    <t>Blodkreft</t>
  </si>
  <si>
    <t>Mage-tarmkreft</t>
  </si>
  <si>
    <t>Kreftform_forenklet_utkast</t>
  </si>
  <si>
    <t>Tilskudd_janei</t>
  </si>
  <si>
    <t>Journal</t>
  </si>
  <si>
    <t>Behandling_aktiv=1</t>
  </si>
  <si>
    <t>vekt</t>
  </si>
  <si>
    <t>høyde</t>
  </si>
  <si>
    <t>kjønn</t>
  </si>
  <si>
    <t>treatment</t>
  </si>
  <si>
    <t>treat_subgr1</t>
  </si>
  <si>
    <t>treat_subgr2</t>
  </si>
  <si>
    <t>round (pilot, main_1, main_2)</t>
  </si>
  <si>
    <t>treat_sub</t>
  </si>
  <si>
    <t>by</t>
  </si>
  <si>
    <t>main_1</t>
  </si>
  <si>
    <t>f</t>
  </si>
  <si>
    <t>LHR</t>
  </si>
  <si>
    <t>m</t>
  </si>
  <si>
    <t>GJO</t>
  </si>
  <si>
    <t>bmi_est (kg/m2)</t>
  </si>
  <si>
    <t>waist_circ</t>
  </si>
  <si>
    <t>bp_systole</t>
  </si>
  <si>
    <t>bp_diastole</t>
  </si>
  <si>
    <t>røde må sjekkes</t>
  </si>
  <si>
    <t>dropout</t>
  </si>
  <si>
    <t>y</t>
  </si>
  <si>
    <t>sivilstatus</t>
  </si>
  <si>
    <t>utdanning</t>
  </si>
  <si>
    <t>dager siden siste behandling</t>
  </si>
  <si>
    <t>eldre voksne</t>
  </si>
  <si>
    <t>middelaldrende</t>
  </si>
  <si>
    <t>gamle eldre</t>
  </si>
  <si>
    <t>unge voksne</t>
  </si>
  <si>
    <t>aldersgruppe_WHO</t>
  </si>
  <si>
    <t>Manuell måling av puls</t>
  </si>
  <si>
    <t>Push ups mot vegg. 122 cm fra hender til gulv, 64 cm fra vegg til tå, 45 cm mellom hender</t>
  </si>
  <si>
    <t xml:space="preserve">nb 2 pretester, da dexa var i ustand ved første tidspunkt. Det er derfor tatt 2 vekt og høyre på FP. Ikke bruk denne. </t>
  </si>
  <si>
    <t xml:space="preserve">nb 2 pretester, da dexa var i ustand ved første tidspunkt. Det er derfor tatt 2 vekt og høyre på FP. Bruk denne. </t>
  </si>
  <si>
    <t>kommentar</t>
  </si>
  <si>
    <t>obs rand stedlig men byttet til dig pga avstand</t>
  </si>
  <si>
    <t>obs byttet fra sted til dig pga grense avstand</t>
  </si>
  <si>
    <t xml:space="preserve">Veileder må konfereres. Har gjort selvtrening med samme type øvelser, da oppmøtedato ikke passet. </t>
  </si>
  <si>
    <t>FP_nr</t>
  </si>
  <si>
    <t>Testtidspunkt</t>
  </si>
  <si>
    <t>Kjønn</t>
  </si>
  <si>
    <t>Alder</t>
  </si>
  <si>
    <t>Høyde cm</t>
  </si>
  <si>
    <t>Vekt (kg)</t>
  </si>
  <si>
    <t>Midjemål</t>
  </si>
  <si>
    <t>Blodtrykk</t>
  </si>
  <si>
    <t>Systole</t>
  </si>
  <si>
    <t>Diastole</t>
  </si>
  <si>
    <t>Pulse</t>
  </si>
  <si>
    <t>bmi_dexa</t>
  </si>
  <si>
    <t>Fett %</t>
  </si>
  <si>
    <t>Fett (g)</t>
  </si>
  <si>
    <t>Fettfri masse (g)</t>
  </si>
  <si>
    <t>Mager masse (g)</t>
  </si>
  <si>
    <t>Z-skår Hele</t>
  </si>
  <si>
    <t>L1 Z-skår</t>
  </si>
  <si>
    <t>L2 Z-skår</t>
  </si>
  <si>
    <t>L3 Z-skår</t>
  </si>
  <si>
    <t>L4 Z-skår</t>
  </si>
  <si>
    <t>L1-L2</t>
  </si>
  <si>
    <t>L2-L3</t>
  </si>
  <si>
    <t>L3-L4</t>
  </si>
  <si>
    <t>L2-L4</t>
  </si>
  <si>
    <t>L1-L3</t>
  </si>
  <si>
    <t>L1-L4</t>
  </si>
  <si>
    <t>Kommentar DEXA</t>
  </si>
  <si>
    <t>dato_ultralyd</t>
  </si>
  <si>
    <t>test_ultralyd</t>
  </si>
  <si>
    <t>ben (venstre/høyre)</t>
  </si>
  <si>
    <t>innstilling/frekvens (hertz)</t>
  </si>
  <si>
    <t>dybde (mm)</t>
  </si>
  <si>
    <t>testleder</t>
  </si>
  <si>
    <t>lat_bilde1</t>
  </si>
  <si>
    <t>interm_bilde1</t>
  </si>
  <si>
    <t>lat_bilde2</t>
  </si>
  <si>
    <t>interm_bilde2</t>
  </si>
  <si>
    <t>lat_bilde3</t>
  </si>
  <si>
    <t>interm_bilde3</t>
  </si>
  <si>
    <t>m.vastus lateralis_snitt (cm)</t>
  </si>
  <si>
    <t>m.vastus intermedius_snitt (cm)</t>
  </si>
  <si>
    <t>…</t>
  </si>
  <si>
    <t>ultralyd_kommentar</t>
  </si>
  <si>
    <t>date_ultrasound</t>
  </si>
  <si>
    <t>test_ultrasound</t>
  </si>
  <si>
    <t>leg (left/right)</t>
  </si>
  <si>
    <t>setting/frequency (hertz)</t>
  </si>
  <si>
    <t>depth (mm)</t>
  </si>
  <si>
    <t>testleader</t>
  </si>
  <si>
    <t>m.vastus lateralis_mean (cm)</t>
  </si>
  <si>
    <t>m.vastus intermedius_mean (cm)</t>
  </si>
  <si>
    <t>ultrasound_comment</t>
  </si>
  <si>
    <t>xxx</t>
  </si>
  <si>
    <t>xx.xx.xxxx</t>
  </si>
  <si>
    <t>followup</t>
  </si>
  <si>
    <t>AE</t>
  </si>
  <si>
    <t>AS</t>
  </si>
  <si>
    <t>right</t>
  </si>
  <si>
    <t>left</t>
  </si>
  <si>
    <t>AK</t>
  </si>
  <si>
    <t>TL</t>
  </si>
  <si>
    <t xml:space="preserve">left </t>
  </si>
  <si>
    <t>fp rapporterer muskelsvinn</t>
  </si>
  <si>
    <t>rapporterer å ha drukket litt kaffe på morgenen</t>
  </si>
  <si>
    <t>FP027</t>
  </si>
  <si>
    <t>Høy</t>
  </si>
  <si>
    <t>47x4</t>
  </si>
  <si>
    <t>FP028</t>
  </si>
  <si>
    <t>44x4</t>
  </si>
  <si>
    <t>FP029</t>
  </si>
  <si>
    <t>Midt</t>
  </si>
  <si>
    <t>40x4</t>
  </si>
  <si>
    <t>Tidligere prolaps, hevelse i venstre kne</t>
  </si>
  <si>
    <t>FP044</t>
  </si>
  <si>
    <t>FP045</t>
  </si>
  <si>
    <t>FP046</t>
  </si>
  <si>
    <t>35x4</t>
  </si>
  <si>
    <t>FP047</t>
  </si>
  <si>
    <t>50x4</t>
  </si>
  <si>
    <t>FP061</t>
  </si>
  <si>
    <t xml:space="preserve">Høy </t>
  </si>
  <si>
    <t>FP071</t>
  </si>
  <si>
    <t>Sko</t>
  </si>
  <si>
    <t>FP072</t>
  </si>
  <si>
    <t>61x4</t>
  </si>
  <si>
    <t>FP073</t>
  </si>
  <si>
    <t>45x4</t>
  </si>
  <si>
    <t>FP074</t>
  </si>
  <si>
    <t>36x4</t>
  </si>
  <si>
    <t>FP075</t>
  </si>
  <si>
    <t>Utposing på tykktarm</t>
  </si>
  <si>
    <t>FP076</t>
  </si>
  <si>
    <t>Bunn</t>
  </si>
  <si>
    <t>FP077</t>
  </si>
  <si>
    <t>34x4</t>
  </si>
  <si>
    <t>FP078</t>
  </si>
  <si>
    <t>FP079</t>
  </si>
  <si>
    <t>FP080</t>
  </si>
  <si>
    <t>FP096</t>
  </si>
  <si>
    <t>43x4</t>
  </si>
  <si>
    <t>FP097</t>
  </si>
  <si>
    <t>38x4</t>
  </si>
  <si>
    <t>FP098</t>
  </si>
  <si>
    <t>FP099</t>
  </si>
  <si>
    <t>FP208</t>
  </si>
  <si>
    <t>FP209</t>
  </si>
  <si>
    <t>FP210</t>
  </si>
  <si>
    <t>FP211</t>
  </si>
  <si>
    <t>FP212</t>
  </si>
  <si>
    <t>FP213</t>
  </si>
  <si>
    <t>FP214</t>
  </si>
  <si>
    <t>FP215</t>
  </si>
  <si>
    <t>FP216</t>
  </si>
  <si>
    <t>Lav</t>
  </si>
  <si>
    <t>FP319</t>
  </si>
  <si>
    <t>FP320</t>
  </si>
  <si>
    <t>FP321</t>
  </si>
  <si>
    <t>FP322</t>
  </si>
  <si>
    <t>41x4</t>
  </si>
  <si>
    <t>FP323</t>
  </si>
  <si>
    <t>FP324</t>
  </si>
  <si>
    <t>FP325</t>
  </si>
  <si>
    <t>FP326</t>
  </si>
  <si>
    <t>FP327</t>
  </si>
  <si>
    <t>FP328</t>
  </si>
  <si>
    <t xml:space="preserve">Litt vondt i høyre kne </t>
  </si>
  <si>
    <t>48x4</t>
  </si>
  <si>
    <t>POST test 2</t>
  </si>
  <si>
    <t>FP030</t>
  </si>
  <si>
    <t>39x4</t>
  </si>
  <si>
    <t>Nevropati i beina.</t>
  </si>
  <si>
    <t>FP048</t>
  </si>
  <si>
    <t>POST test 2!</t>
  </si>
  <si>
    <t>FP062</t>
  </si>
  <si>
    <t xml:space="preserve">POST test 2! (INGEN 10RM test) </t>
  </si>
  <si>
    <t>Litt vondt i kne</t>
  </si>
  <si>
    <t>37x4</t>
  </si>
  <si>
    <t>51x4</t>
  </si>
  <si>
    <t xml:space="preserve">Litt vondt i venstre kne </t>
  </si>
  <si>
    <t xml:space="preserve">Har gjennomført riktig post 2 </t>
  </si>
  <si>
    <t xml:space="preserve">Ikke gjennomført riktig post 2 </t>
  </si>
  <si>
    <t xml:space="preserve">Feil oppsett i test </t>
  </si>
  <si>
    <t xml:space="preserve">Dette gjelder testdag: </t>
  </si>
  <si>
    <t>1.12-2.12</t>
  </si>
  <si>
    <t>Ble benyttet ny PR på:</t>
  </si>
  <si>
    <t>10RM og 80% test</t>
  </si>
  <si>
    <t xml:space="preserve">(Ikke gammel, som det </t>
  </si>
  <si>
    <t xml:space="preserve">egentlig skulle) </t>
  </si>
  <si>
    <t>År</t>
  </si>
  <si>
    <t>FP</t>
  </si>
  <si>
    <t>tidspunkt (pre, post, 12mnd)</t>
  </si>
  <si>
    <t>12 mnd</t>
  </si>
  <si>
    <t>-</t>
  </si>
  <si>
    <t>Strakpush. Hoka Clifton</t>
  </si>
  <si>
    <t xml:space="preserve">Strakpush. </t>
  </si>
  <si>
    <t xml:space="preserve">Knæpush. </t>
  </si>
  <si>
    <t>Knæpush.</t>
  </si>
  <si>
    <t>Glemte å måle</t>
  </si>
  <si>
    <t xml:space="preserve">Push på kne. </t>
  </si>
  <si>
    <t>Veggpush, vond skulder</t>
  </si>
  <si>
    <t>Knæpush. Gymsko</t>
  </si>
  <si>
    <t>18, 72</t>
  </si>
  <si>
    <t>Veggpush.</t>
  </si>
  <si>
    <t>Fare for hjerteflimmer. Måtte gi seg</t>
  </si>
  <si>
    <t>44.5</t>
  </si>
  <si>
    <t>47.5</t>
  </si>
  <si>
    <t>43.5</t>
  </si>
  <si>
    <t>Ortopediske sko</t>
  </si>
  <si>
    <t>Ikke gjennomført</t>
  </si>
  <si>
    <t>ikke gjennomført</t>
  </si>
  <si>
    <t>vondt håndledd post. Ingen pushup</t>
  </si>
  <si>
    <t>Vond skulder post</t>
  </si>
  <si>
    <t>mindre smerter</t>
  </si>
  <si>
    <t>Holdt seg ikke til vegg posttest</t>
  </si>
  <si>
    <t>FP063</t>
  </si>
  <si>
    <t xml:space="preserve">Pre </t>
  </si>
  <si>
    <t>121+</t>
  </si>
  <si>
    <t>dropout?</t>
  </si>
  <si>
    <t>må plottes</t>
  </si>
  <si>
    <t>OBS!</t>
  </si>
  <si>
    <t>2024+25</t>
  </si>
  <si>
    <t>NB! fjern null hvis data mangler over</t>
  </si>
  <si>
    <t>main_2</t>
  </si>
  <si>
    <t>Beinkreft</t>
  </si>
  <si>
    <t>Nyrekreft</t>
  </si>
  <si>
    <t>Blastrom</t>
  </si>
  <si>
    <t>alder</t>
  </si>
  <si>
    <t>Bukspyttkjertelkreft</t>
  </si>
  <si>
    <t>Blærekreft</t>
  </si>
  <si>
    <t>papir?</t>
  </si>
  <si>
    <t>Ikke ofte</t>
  </si>
  <si>
    <t>mindre en en</t>
  </si>
  <si>
    <t>8-10</t>
  </si>
  <si>
    <t>50%</t>
  </si>
  <si>
    <t>Litt forskjelig</t>
  </si>
  <si>
    <t>Varierende</t>
  </si>
  <si>
    <t>2 til 3 gsanger</t>
  </si>
  <si>
    <t>25</t>
  </si>
  <si>
    <t>Frokost lunch middag</t>
  </si>
  <si>
    <t xml:space="preserve">To brødskiver til kvelds </t>
  </si>
  <si>
    <t xml:space="preserve">5 </t>
  </si>
  <si>
    <t xml:space="preserve">3, frokost lunsj middag </t>
  </si>
  <si>
    <t>Ved behov ift blodsukker</t>
  </si>
  <si>
    <t>Null</t>
  </si>
  <si>
    <t xml:space="preserve">To ganger </t>
  </si>
  <si>
    <t>0-2</t>
  </si>
  <si>
    <t xml:space="preserve">Ikke hver uke jeg drikker. Men ett par glass på fredag, lørdag.. eller litt mere i festlige lag. </t>
  </si>
  <si>
    <t>Alt fra 2 til 15</t>
  </si>
  <si>
    <t>7-8</t>
  </si>
  <si>
    <t>Prøver og unngå dette men det skjer noen ganger. Spesielt på helg.</t>
  </si>
  <si>
    <t>Kanskje en gang i blant.</t>
  </si>
  <si>
    <t>Ca 2</t>
  </si>
  <si>
    <t>4-8</t>
  </si>
  <si>
    <t>Måtte brytes pre-test pga vond kne. brukte 80% av det hen klarte sist der hen avsluttet testen</t>
  </si>
  <si>
    <t>Brokk</t>
  </si>
  <si>
    <t>Vondt kne</t>
  </si>
  <si>
    <t>slettes</t>
  </si>
  <si>
    <t>nei</t>
  </si>
  <si>
    <t>*dobbeltsjekk eksakt testdato</t>
  </si>
  <si>
    <t>papir</t>
  </si>
  <si>
    <t>en</t>
  </si>
  <si>
    <t>0.2</t>
  </si>
  <si>
    <t>dobbeltsjekk kodebok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</si>
</sst>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 &quot;kr&quot;\ * #,##0.00_ ;_ &quot;kr&quot;\ * \-#,##0.00_ ;_ &quot;kr&quot;\ * &quot;-&quot;??_ ;_ @_ "/>
    <numFmt numFmtId="166" formatCode="0.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charset val="1"/>
    </font>
    <font>
      <sz val="9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  <scheme val="minor"/>
    </font>
    <font>
      <sz val="12"/>
      <color rgb="FF242424"/>
      <name val="Aptos Narrow"/>
      <family val="2"/>
      <scheme val="minor"/>
    </font>
    <font>
      <sz val="12"/>
      <color theme="1"/>
      <name val="Calibri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2"/>
      <color rgb="FF000000"/>
      <name val="Times New Roman"/>
      <family val="1"/>
    </font>
    <font>
      <i/>
      <sz val="11"/>
      <color rgb="FFFF0000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AEFF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theme="9"/>
        <bgColor theme="0"/>
      </patternFill>
    </fill>
    <fill>
      <patternFill patternType="solid">
        <fgColor rgb="FFFF0000"/>
        <bgColor theme="0"/>
      </patternFill>
    </fill>
  </fills>
  <borders count="3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8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theme="8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theme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theme="8"/>
      </top>
      <bottom style="thin">
        <color rgb="FF000000"/>
      </bottom>
      <diagonal/>
    </border>
    <border>
      <left style="thin">
        <color rgb="FF000000"/>
      </left>
      <right style="thin">
        <color rgb="FFA02B93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02B93"/>
      </bottom>
      <diagonal/>
    </border>
    <border>
      <left style="thin">
        <color rgb="FF000000"/>
      </left>
      <right style="thin">
        <color rgb="FFA02B93"/>
      </right>
      <top style="thin">
        <color rgb="FF000000"/>
      </top>
      <bottom style="thin">
        <color rgb="FFA02B93"/>
      </bottom>
      <diagonal/>
    </border>
    <border>
      <left style="thin">
        <color rgb="FF000000"/>
      </left>
      <right style="thin">
        <color theme="8"/>
      </right>
      <top style="thin">
        <color rgb="FF000000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theme="4" tint="0.39997558519241921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57">
    <xf numFmtId="0" fontId="0" fillId="0" borderId="0" xfId="0"/>
    <xf numFmtId="0" fontId="4" fillId="0" borderId="6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49" fontId="0" fillId="0" borderId="0" xfId="0" applyNumberFormat="1"/>
    <xf numFmtId="2" fontId="0" fillId="0" borderId="0" xfId="0" applyNumberFormat="1"/>
    <xf numFmtId="0" fontId="0" fillId="3" borderId="0" xfId="0" applyFill="1"/>
    <xf numFmtId="0" fontId="3" fillId="0" borderId="0" xfId="0" applyFont="1"/>
    <xf numFmtId="0" fontId="3" fillId="7" borderId="0" xfId="0" applyFont="1" applyFill="1"/>
    <xf numFmtId="0" fontId="0" fillId="8" borderId="0" xfId="0" applyFill="1"/>
    <xf numFmtId="0" fontId="0" fillId="9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0" fontId="0" fillId="9" borderId="5" xfId="0" applyFill="1" applyBorder="1"/>
    <xf numFmtId="0" fontId="0" fillId="7" borderId="5" xfId="0" applyFill="1" applyBorder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/>
    <xf numFmtId="0" fontId="6" fillId="0" borderId="1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/>
    <xf numFmtId="0" fontId="6" fillId="0" borderId="19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6" fontId="0" fillId="0" borderId="11" xfId="0" applyNumberFormat="1" applyBorder="1"/>
    <xf numFmtId="0" fontId="0" fillId="0" borderId="21" xfId="0" applyBorder="1" applyAlignment="1">
      <alignment horizontal="center"/>
    </xf>
    <xf numFmtId="16" fontId="0" fillId="0" borderId="22" xfId="0" applyNumberFormat="1" applyBorder="1"/>
    <xf numFmtId="16" fontId="0" fillId="0" borderId="10" xfId="0" applyNumberFormat="1" applyBorder="1"/>
    <xf numFmtId="0" fontId="7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10" borderId="0" xfId="0" applyFill="1" applyAlignment="1">
      <alignment horizontal="right"/>
    </xf>
    <xf numFmtId="0" fontId="0" fillId="10" borderId="0" xfId="0" applyFill="1"/>
    <xf numFmtId="0" fontId="0" fillId="6" borderId="0" xfId="0" applyFill="1"/>
    <xf numFmtId="0" fontId="8" fillId="0" borderId="0" xfId="0" applyFont="1"/>
    <xf numFmtId="0" fontId="0" fillId="11" borderId="0" xfId="0" applyFill="1"/>
    <xf numFmtId="0" fontId="9" fillId="0" borderId="0" xfId="0" applyFont="1" applyAlignment="1">
      <alignment horizontal="center"/>
    </xf>
    <xf numFmtId="0" fontId="9" fillId="7" borderId="0" xfId="0" applyFont="1" applyFill="1"/>
    <xf numFmtId="0" fontId="9" fillId="0" borderId="0" xfId="0" applyFont="1"/>
    <xf numFmtId="0" fontId="9" fillId="0" borderId="0" xfId="1" applyNumberFormat="1" applyFont="1" applyFill="1" applyAlignment="1">
      <alignment horizontal="center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/>
    <xf numFmtId="0" fontId="0" fillId="0" borderId="0" xfId="0" applyAlignment="1">
      <alignment horizontal="left"/>
    </xf>
    <xf numFmtId="0" fontId="0" fillId="9" borderId="0" xfId="0" applyFill="1" applyAlignment="1">
      <alignment horizontal="left"/>
    </xf>
    <xf numFmtId="0" fontId="2" fillId="0" borderId="0" xfId="0" applyFont="1"/>
    <xf numFmtId="0" fontId="0" fillId="4" borderId="0" xfId="0" applyFill="1"/>
    <xf numFmtId="0" fontId="0" fillId="11" borderId="5" xfId="0" applyFill="1" applyBorder="1"/>
    <xf numFmtId="166" fontId="10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11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49" fontId="6" fillId="0" borderId="11" xfId="0" applyNumberFormat="1" applyFont="1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21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9" borderId="0" xfId="0" applyFill="1" applyAlignment="1">
      <alignment horizontal="right"/>
    </xf>
    <xf numFmtId="49" fontId="0" fillId="0" borderId="0" xfId="0" applyNumberFormat="1" applyAlignment="1">
      <alignment horizontal="right"/>
    </xf>
    <xf numFmtId="49" fontId="11" fillId="12" borderId="0" xfId="0" applyNumberFormat="1" applyFont="1" applyFill="1"/>
    <xf numFmtId="0" fontId="11" fillId="12" borderId="0" xfId="0" applyFont="1" applyFill="1"/>
    <xf numFmtId="0" fontId="11" fillId="13" borderId="0" xfId="0" applyFont="1" applyFill="1"/>
    <xf numFmtId="0" fontId="0" fillId="14" borderId="0" xfId="0" applyFill="1"/>
    <xf numFmtId="14" fontId="0" fillId="0" borderId="0" xfId="0" applyNumberFormat="1"/>
    <xf numFmtId="20" fontId="0" fillId="0" borderId="0" xfId="0" applyNumberFormat="1"/>
    <xf numFmtId="0" fontId="12" fillId="16" borderId="2" xfId="0" applyFont="1" applyFill="1" applyBorder="1"/>
    <xf numFmtId="49" fontId="12" fillId="17" borderId="2" xfId="0" applyNumberFormat="1" applyFont="1" applyFill="1" applyBorder="1"/>
    <xf numFmtId="0" fontId="12" fillId="18" borderId="2" xfId="0" applyFont="1" applyFill="1" applyBorder="1"/>
    <xf numFmtId="0" fontId="12" fillId="19" borderId="2" xfId="0" applyFont="1" applyFill="1" applyBorder="1"/>
    <xf numFmtId="0" fontId="13" fillId="20" borderId="2" xfId="0" applyFont="1" applyFill="1" applyBorder="1"/>
    <xf numFmtId="0" fontId="12" fillId="21" borderId="2" xfId="0" applyFont="1" applyFill="1" applyBorder="1"/>
    <xf numFmtId="0" fontId="12" fillId="22" borderId="2" xfId="0" applyFont="1" applyFill="1" applyBorder="1"/>
    <xf numFmtId="0" fontId="12" fillId="23" borderId="2" xfId="0" applyFont="1" applyFill="1" applyBorder="1"/>
    <xf numFmtId="0" fontId="12" fillId="24" borderId="2" xfId="0" applyFont="1" applyFill="1" applyBorder="1"/>
    <xf numFmtId="0" fontId="12" fillId="25" borderId="2" xfId="0" applyFont="1" applyFill="1" applyBorder="1"/>
    <xf numFmtId="0" fontId="12" fillId="26" borderId="2" xfId="0" applyFont="1" applyFill="1" applyBorder="1"/>
    <xf numFmtId="0" fontId="12" fillId="27" borderId="2" xfId="0" applyFont="1" applyFill="1" applyBorder="1"/>
    <xf numFmtId="14" fontId="5" fillId="0" borderId="23" xfId="0" applyNumberFormat="1" applyFont="1" applyBorder="1"/>
    <xf numFmtId="14" fontId="5" fillId="0" borderId="24" xfId="0" applyNumberFormat="1" applyFont="1" applyBorder="1"/>
    <xf numFmtId="0" fontId="5" fillId="0" borderId="24" xfId="0" applyFont="1" applyBorder="1"/>
    <xf numFmtId="49" fontId="5" fillId="0" borderId="24" xfId="0" applyNumberFormat="1" applyFont="1" applyBorder="1"/>
    <xf numFmtId="0" fontId="14" fillId="0" borderId="25" xfId="0" applyFont="1" applyBorder="1" applyAlignment="1">
      <alignment vertical="center" wrapText="1"/>
    </xf>
    <xf numFmtId="14" fontId="5" fillId="0" borderId="26" xfId="0" applyNumberFormat="1" applyFont="1" applyBorder="1"/>
    <xf numFmtId="14" fontId="5" fillId="0" borderId="27" xfId="0" applyNumberFormat="1" applyFont="1" applyBorder="1"/>
    <xf numFmtId="0" fontId="5" fillId="0" borderId="27" xfId="0" applyFont="1" applyBorder="1"/>
    <xf numFmtId="49" fontId="5" fillId="0" borderId="27" xfId="0" applyNumberFormat="1" applyFont="1" applyBorder="1"/>
    <xf numFmtId="0" fontId="5" fillId="0" borderId="27" xfId="0" applyFont="1" applyBorder="1" applyAlignment="1">
      <alignment vertical="center" wrapText="1"/>
    </xf>
    <xf numFmtId="0" fontId="14" fillId="0" borderId="4" xfId="0" applyFont="1" applyBorder="1" applyAlignment="1">
      <alignment horizontal="left" vertical="center" wrapText="1"/>
    </xf>
    <xf numFmtId="0" fontId="5" fillId="0" borderId="4" xfId="0" applyFont="1" applyBorder="1"/>
    <xf numFmtId="0" fontId="14" fillId="0" borderId="4" xfId="0" applyFont="1" applyBorder="1" applyAlignment="1">
      <alignment vertical="center"/>
    </xf>
    <xf numFmtId="49" fontId="15" fillId="0" borderId="27" xfId="0" applyNumberFormat="1" applyFont="1" applyBorder="1"/>
    <xf numFmtId="164" fontId="5" fillId="0" borderId="27" xfId="0" applyNumberFormat="1" applyFont="1" applyBorder="1"/>
    <xf numFmtId="16" fontId="5" fillId="0" borderId="26" xfId="0" applyNumberFormat="1" applyFont="1" applyBorder="1"/>
    <xf numFmtId="14" fontId="16" fillId="0" borderId="28" xfId="0" applyNumberFormat="1" applyFont="1" applyBorder="1"/>
    <xf numFmtId="0" fontId="16" fillId="28" borderId="29" xfId="0" applyFont="1" applyFill="1" applyBorder="1"/>
    <xf numFmtId="0" fontId="16" fillId="28" borderId="30" xfId="0" applyFont="1" applyFill="1" applyBorder="1"/>
    <xf numFmtId="0" fontId="16" fillId="28" borderId="9" xfId="0" applyFont="1" applyFill="1" applyBorder="1"/>
    <xf numFmtId="0" fontId="16" fillId="28" borderId="31" xfId="0" applyFont="1" applyFill="1" applyBorder="1"/>
    <xf numFmtId="0" fontId="0" fillId="0" borderId="21" xfId="0" applyBorder="1"/>
    <xf numFmtId="14" fontId="16" fillId="29" borderId="28" xfId="0" applyNumberFormat="1" applyFont="1" applyFill="1" applyBorder="1"/>
    <xf numFmtId="0" fontId="16" fillId="30" borderId="10" xfId="0" applyFont="1" applyFill="1" applyBorder="1"/>
    <xf numFmtId="0" fontId="16" fillId="30" borderId="33" xfId="0" applyFont="1" applyFill="1" applyBorder="1"/>
    <xf numFmtId="14" fontId="16" fillId="28" borderId="28" xfId="0" applyNumberFormat="1" applyFont="1" applyFill="1" applyBorder="1"/>
    <xf numFmtId="0" fontId="16" fillId="28" borderId="10" xfId="0" applyFont="1" applyFill="1" applyBorder="1"/>
    <xf numFmtId="0" fontId="16" fillId="31" borderId="33" xfId="0" applyFont="1" applyFill="1" applyBorder="1"/>
    <xf numFmtId="14" fontId="16" fillId="31" borderId="28" xfId="0" applyNumberFormat="1" applyFont="1" applyFill="1" applyBorder="1"/>
    <xf numFmtId="0" fontId="16" fillId="28" borderId="33" xfId="0" applyFont="1" applyFill="1" applyBorder="1"/>
    <xf numFmtId="0" fontId="0" fillId="15" borderId="0" xfId="0" applyFill="1"/>
    <xf numFmtId="0" fontId="0" fillId="2" borderId="0" xfId="0" applyFill="1"/>
    <xf numFmtId="49" fontId="0" fillId="5" borderId="0" xfId="0" applyNumberFormat="1" applyFill="1"/>
    <xf numFmtId="0" fontId="17" fillId="0" borderId="28" xfId="0" applyFont="1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19" fillId="0" borderId="10" xfId="0" applyFont="1" applyBorder="1" applyAlignment="1">
      <alignment horizontal="center"/>
    </xf>
    <xf numFmtId="0" fontId="19" fillId="0" borderId="33" xfId="0" applyFont="1" applyBorder="1" applyAlignment="1">
      <alignment horizontal="left"/>
    </xf>
    <xf numFmtId="49" fontId="19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20" fillId="0" borderId="33" xfId="0" applyFont="1" applyBorder="1"/>
    <xf numFmtId="0" fontId="17" fillId="0" borderId="32" xfId="0" applyFont="1" applyBorder="1" applyAlignment="1">
      <alignment horizontal="center"/>
    </xf>
    <xf numFmtId="0" fontId="18" fillId="0" borderId="21" xfId="0" applyFont="1" applyBorder="1" applyAlignment="1">
      <alignment horizontal="left"/>
    </xf>
    <xf numFmtId="0" fontId="20" fillId="0" borderId="21" xfId="0" applyFont="1" applyBorder="1" applyAlignment="1">
      <alignment horizontal="center"/>
    </xf>
    <xf numFmtId="0" fontId="20" fillId="0" borderId="34" xfId="0" applyFont="1" applyBorder="1"/>
    <xf numFmtId="0" fontId="1" fillId="0" borderId="10" xfId="0" applyFont="1" applyBorder="1"/>
    <xf numFmtId="0" fontId="21" fillId="0" borderId="10" xfId="0" applyFont="1" applyBorder="1"/>
    <xf numFmtId="14" fontId="22" fillId="0" borderId="10" xfId="0" applyNumberFormat="1" applyFont="1" applyBorder="1"/>
    <xf numFmtId="14" fontId="21" fillId="0" borderId="10" xfId="0" applyNumberFormat="1" applyFont="1" applyBorder="1"/>
    <xf numFmtId="0" fontId="23" fillId="0" borderId="10" xfId="0" applyFont="1" applyBorder="1" applyAlignment="1">
      <alignment horizontal="left" vertical="center" wrapText="1"/>
    </xf>
    <xf numFmtId="2" fontId="0" fillId="0" borderId="10" xfId="0" applyNumberFormat="1" applyBorder="1"/>
    <xf numFmtId="0" fontId="0" fillId="10" borderId="10" xfId="0" applyFill="1" applyBorder="1"/>
    <xf numFmtId="0" fontId="0" fillId="15" borderId="10" xfId="0" applyFill="1" applyBorder="1"/>
    <xf numFmtId="0" fontId="23" fillId="0" borderId="0" xfId="0" applyFont="1" applyAlignment="1">
      <alignment horizontal="left" vertical="center" wrapText="1"/>
    </xf>
    <xf numFmtId="49" fontId="5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center" vertical="center"/>
    </xf>
    <xf numFmtId="14" fontId="2" fillId="0" borderId="0" xfId="0" applyNumberFormat="1" applyFont="1"/>
    <xf numFmtId="0" fontId="24" fillId="0" borderId="0" xfId="0" applyFont="1"/>
    <xf numFmtId="49" fontId="24" fillId="0" borderId="0" xfId="0" applyNumberFormat="1" applyFont="1"/>
    <xf numFmtId="0" fontId="10" fillId="0" borderId="10" xfId="0" applyFont="1" applyBorder="1"/>
    <xf numFmtId="0" fontId="24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</cellXfs>
  <cellStyles count="2">
    <cellStyle name="Normal" xfId="0" builtinId="0"/>
    <cellStyle name="Valuta 2" xfId="1" xr:uid="{4B89AF68-19E3-44A8-8873-D9AD0DBAD1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3515-6EC6-4E53-BADF-935199A2DC0B}">
  <dimension ref="A1:AE75"/>
  <sheetViews>
    <sheetView topLeftCell="O1" workbookViewId="0">
      <pane ySplit="2" topLeftCell="A52" activePane="bottomLeft" state="frozen"/>
      <selection pane="bottomLeft" activeCell="AB64" sqref="AB64"/>
    </sheetView>
  </sheetViews>
  <sheetFormatPr baseColWidth="10" defaultRowHeight="15" x14ac:dyDescent="0.2"/>
  <cols>
    <col min="2" max="10" width="10.83203125" style="43"/>
    <col min="11" max="11" width="17.33203125" style="43" bestFit="1" customWidth="1"/>
    <col min="15" max="15" width="22.5" bestFit="1" customWidth="1"/>
    <col min="23" max="23" width="17.1640625" bestFit="1" customWidth="1"/>
    <col min="24" max="24" width="13.1640625" bestFit="1" customWidth="1"/>
    <col min="25" max="25" width="17.5" customWidth="1"/>
  </cols>
  <sheetData>
    <row r="1" spans="1:26" x14ac:dyDescent="0.2">
      <c r="P1" s="58" t="s">
        <v>292</v>
      </c>
      <c r="Q1" s="58" t="s">
        <v>293</v>
      </c>
      <c r="R1" s="58" t="s">
        <v>294</v>
      </c>
      <c r="S1" s="58" t="s">
        <v>295</v>
      </c>
      <c r="T1" s="58" t="s">
        <v>296</v>
      </c>
      <c r="U1" s="58" t="s">
        <v>297</v>
      </c>
      <c r="V1" s="58" t="s">
        <v>298</v>
      </c>
    </row>
    <row r="2" spans="1:26" x14ac:dyDescent="0.2">
      <c r="A2" t="s">
        <v>497</v>
      </c>
      <c r="B2" s="43" t="s">
        <v>82</v>
      </c>
      <c r="C2" t="s">
        <v>314</v>
      </c>
      <c r="D2" t="s">
        <v>315</v>
      </c>
      <c r="E2" t="s">
        <v>316</v>
      </c>
      <c r="F2" t="s">
        <v>317</v>
      </c>
      <c r="G2" t="s">
        <v>318</v>
      </c>
      <c r="H2" t="s">
        <v>330</v>
      </c>
      <c r="I2" s="43" t="s">
        <v>313</v>
      </c>
      <c r="J2" s="43" t="s">
        <v>535</v>
      </c>
      <c r="K2" s="43" t="s">
        <v>339</v>
      </c>
      <c r="L2" t="s">
        <v>332</v>
      </c>
      <c r="M2" t="s">
        <v>333</v>
      </c>
      <c r="N2" t="s">
        <v>319</v>
      </c>
      <c r="O2" s="59" t="s">
        <v>307</v>
      </c>
      <c r="P2" t="s">
        <v>285</v>
      </c>
      <c r="Q2" t="s">
        <v>286</v>
      </c>
      <c r="R2" t="s">
        <v>287</v>
      </c>
      <c r="S2" t="s">
        <v>288</v>
      </c>
      <c r="T2" t="s">
        <v>289</v>
      </c>
      <c r="U2" t="s">
        <v>290</v>
      </c>
      <c r="V2" t="s">
        <v>291</v>
      </c>
      <c r="W2" s="59" t="s">
        <v>300</v>
      </c>
      <c r="X2" s="59" t="s">
        <v>308</v>
      </c>
      <c r="Y2" t="s">
        <v>310</v>
      </c>
      <c r="Z2" t="s">
        <v>334</v>
      </c>
    </row>
    <row r="3" spans="1:26" x14ac:dyDescent="0.2">
      <c r="A3">
        <v>2024</v>
      </c>
      <c r="B3" s="17" t="s">
        <v>20</v>
      </c>
      <c r="C3" t="s">
        <v>164</v>
      </c>
      <c r="D3" s="9" t="s">
        <v>108</v>
      </c>
      <c r="E3"/>
      <c r="F3" s="9" t="s">
        <v>320</v>
      </c>
      <c r="G3"/>
      <c r="H3" t="s">
        <v>331</v>
      </c>
      <c r="I3" s="9" t="s">
        <v>321</v>
      </c>
      <c r="J3"/>
      <c r="K3" t="s">
        <v>335</v>
      </c>
      <c r="L3" s="56">
        <v>6</v>
      </c>
      <c r="M3" s="56">
        <v>3</v>
      </c>
      <c r="N3" t="s">
        <v>322</v>
      </c>
      <c r="O3" t="s">
        <v>280</v>
      </c>
      <c r="P3" s="43"/>
      <c r="Q3" s="43">
        <v>1</v>
      </c>
      <c r="R3" s="43"/>
      <c r="S3" s="43">
        <v>1</v>
      </c>
      <c r="T3" s="43"/>
      <c r="U3" s="43"/>
      <c r="V3" s="43"/>
      <c r="W3" t="s">
        <v>192</v>
      </c>
      <c r="Y3" s="43">
        <v>2</v>
      </c>
      <c r="Z3">
        <v>191</v>
      </c>
    </row>
    <row r="4" spans="1:26" x14ac:dyDescent="0.2">
      <c r="A4">
        <v>2024</v>
      </c>
      <c r="B4" s="17" t="s">
        <v>23</v>
      </c>
      <c r="C4" t="s">
        <v>165</v>
      </c>
      <c r="D4" s="9" t="s">
        <v>108</v>
      </c>
      <c r="E4"/>
      <c r="F4" s="9" t="s">
        <v>320</v>
      </c>
      <c r="G4"/>
      <c r="H4"/>
      <c r="I4" s="9" t="s">
        <v>321</v>
      </c>
      <c r="J4" s="55"/>
      <c r="K4" s="55" t="s">
        <v>335</v>
      </c>
      <c r="L4" s="56">
        <v>2</v>
      </c>
      <c r="M4" s="56">
        <v>6</v>
      </c>
      <c r="N4" t="s">
        <v>322</v>
      </c>
      <c r="O4" t="s">
        <v>303</v>
      </c>
      <c r="P4" s="43">
        <v>1</v>
      </c>
      <c r="Q4" s="43"/>
      <c r="R4" s="43"/>
      <c r="S4" s="43"/>
      <c r="T4" s="43"/>
      <c r="U4" s="43"/>
      <c r="V4" s="43"/>
      <c r="W4" t="s">
        <v>192</v>
      </c>
      <c r="Y4" s="43">
        <v>2</v>
      </c>
      <c r="Z4">
        <v>50</v>
      </c>
    </row>
    <row r="5" spans="1:26" x14ac:dyDescent="0.2">
      <c r="A5">
        <v>2024</v>
      </c>
      <c r="B5" s="17" t="s">
        <v>26</v>
      </c>
      <c r="C5" t="s">
        <v>164</v>
      </c>
      <c r="D5" s="9" t="s">
        <v>108</v>
      </c>
      <c r="E5"/>
      <c r="F5" s="9" t="s">
        <v>320</v>
      </c>
      <c r="G5"/>
      <c r="H5"/>
      <c r="I5" s="9" t="s">
        <v>321</v>
      </c>
      <c r="J5" s="55"/>
      <c r="K5" s="55" t="s">
        <v>335</v>
      </c>
      <c r="L5" s="56">
        <v>6</v>
      </c>
      <c r="M5" s="56">
        <v>3</v>
      </c>
      <c r="N5" t="s">
        <v>322</v>
      </c>
      <c r="O5" t="s">
        <v>303</v>
      </c>
      <c r="P5" s="43">
        <v>1</v>
      </c>
      <c r="Q5" s="43"/>
      <c r="R5" s="43"/>
      <c r="S5" s="43"/>
      <c r="T5" s="43"/>
      <c r="U5" s="43"/>
      <c r="V5" s="43"/>
      <c r="W5" t="s">
        <v>299</v>
      </c>
      <c r="Y5" s="43">
        <v>2</v>
      </c>
      <c r="Z5">
        <v>521</v>
      </c>
    </row>
    <row r="6" spans="1:26" s="58" customFormat="1" x14ac:dyDescent="0.2">
      <c r="A6">
        <v>2024</v>
      </c>
      <c r="B6" s="17" t="s">
        <v>27</v>
      </c>
      <c r="C6" t="s">
        <v>165</v>
      </c>
      <c r="D6" s="9" t="s">
        <v>108</v>
      </c>
      <c r="E6"/>
      <c r="F6" s="9" t="s">
        <v>320</v>
      </c>
      <c r="G6"/>
      <c r="H6"/>
      <c r="I6" s="9" t="s">
        <v>321</v>
      </c>
      <c r="J6" s="55"/>
      <c r="K6" s="55" t="s">
        <v>335</v>
      </c>
      <c r="L6" s="56">
        <v>2</v>
      </c>
      <c r="M6" s="56">
        <v>7</v>
      </c>
      <c r="N6" t="s">
        <v>322</v>
      </c>
      <c r="O6" t="s">
        <v>280</v>
      </c>
      <c r="P6" s="43">
        <v>1</v>
      </c>
      <c r="Q6" s="43">
        <v>1</v>
      </c>
      <c r="R6" s="43">
        <v>1</v>
      </c>
      <c r="S6" s="43">
        <v>1</v>
      </c>
      <c r="T6" s="43"/>
      <c r="U6" s="43"/>
      <c r="V6" s="43"/>
      <c r="W6" t="s">
        <v>192</v>
      </c>
      <c r="X6"/>
      <c r="Y6" s="43">
        <v>2</v>
      </c>
      <c r="Z6" s="55">
        <v>115</v>
      </c>
    </row>
    <row r="7" spans="1:26" x14ac:dyDescent="0.2">
      <c r="A7">
        <v>2024</v>
      </c>
      <c r="B7" s="43" t="s">
        <v>29</v>
      </c>
      <c r="C7" t="s">
        <v>165</v>
      </c>
      <c r="D7" s="9" t="s">
        <v>108</v>
      </c>
      <c r="E7"/>
      <c r="F7" s="9" t="s">
        <v>320</v>
      </c>
      <c r="G7"/>
      <c r="H7" t="s">
        <v>331</v>
      </c>
      <c r="I7" s="9" t="s">
        <v>321</v>
      </c>
      <c r="J7" s="55"/>
      <c r="K7" s="55" t="s">
        <v>335</v>
      </c>
      <c r="L7" t="s">
        <v>213</v>
      </c>
      <c r="M7" t="s">
        <v>239</v>
      </c>
      <c r="N7" t="s">
        <v>322</v>
      </c>
      <c r="O7" t="s">
        <v>280</v>
      </c>
      <c r="P7" s="43">
        <v>0</v>
      </c>
      <c r="Q7" s="43">
        <v>1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t="s">
        <v>192</v>
      </c>
      <c r="Y7" s="43">
        <v>2</v>
      </c>
      <c r="Z7">
        <v>1546</v>
      </c>
    </row>
    <row r="8" spans="1:26" x14ac:dyDescent="0.2">
      <c r="A8">
        <v>2024</v>
      </c>
      <c r="B8" s="43" t="s">
        <v>30</v>
      </c>
      <c r="C8" t="s">
        <v>165</v>
      </c>
      <c r="D8" s="9" t="s">
        <v>108</v>
      </c>
      <c r="E8"/>
      <c r="F8" s="9" t="s">
        <v>320</v>
      </c>
      <c r="G8"/>
      <c r="H8"/>
      <c r="I8" s="9" t="s">
        <v>321</v>
      </c>
      <c r="J8" s="55"/>
      <c r="K8" s="55" t="s">
        <v>336</v>
      </c>
      <c r="L8" t="s">
        <v>219</v>
      </c>
      <c r="M8" t="s">
        <v>219</v>
      </c>
      <c r="N8" t="s">
        <v>322</v>
      </c>
      <c r="O8" t="s">
        <v>280</v>
      </c>
      <c r="P8" s="43">
        <v>0</v>
      </c>
      <c r="Q8" s="43">
        <v>1</v>
      </c>
      <c r="R8" s="43">
        <v>0</v>
      </c>
      <c r="S8" s="43">
        <v>1</v>
      </c>
      <c r="T8" s="43">
        <v>0</v>
      </c>
      <c r="U8" s="43">
        <v>1</v>
      </c>
      <c r="V8" s="43">
        <v>0</v>
      </c>
      <c r="W8" t="s">
        <v>192</v>
      </c>
      <c r="Y8" s="43">
        <v>2</v>
      </c>
      <c r="Z8">
        <v>1696</v>
      </c>
    </row>
    <row r="9" spans="1:26" x14ac:dyDescent="0.2">
      <c r="A9">
        <v>2024</v>
      </c>
      <c r="B9" s="43" t="s">
        <v>34</v>
      </c>
      <c r="C9" t="s">
        <v>165</v>
      </c>
      <c r="D9" s="9" t="s">
        <v>108</v>
      </c>
      <c r="E9"/>
      <c r="F9" s="9" t="s">
        <v>320</v>
      </c>
      <c r="G9"/>
      <c r="H9"/>
      <c r="I9" s="9" t="s">
        <v>321</v>
      </c>
      <c r="J9" s="55"/>
      <c r="K9" s="55" t="s">
        <v>336</v>
      </c>
      <c r="L9" t="s">
        <v>219</v>
      </c>
      <c r="M9" t="s">
        <v>239</v>
      </c>
      <c r="N9" t="s">
        <v>322</v>
      </c>
      <c r="O9" t="s">
        <v>305</v>
      </c>
      <c r="P9" s="43">
        <v>1</v>
      </c>
      <c r="Q9" s="43">
        <v>0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  <c r="W9" t="s">
        <v>299</v>
      </c>
      <c r="Y9" s="43">
        <v>2</v>
      </c>
      <c r="Z9">
        <v>2086</v>
      </c>
    </row>
    <row r="10" spans="1:26" x14ac:dyDescent="0.2">
      <c r="A10">
        <v>2024</v>
      </c>
      <c r="B10" s="54" t="s">
        <v>36</v>
      </c>
      <c r="C10" s="47" t="s">
        <v>164</v>
      </c>
      <c r="D10" s="9" t="s">
        <v>108</v>
      </c>
      <c r="E10"/>
      <c r="F10" s="9" t="s">
        <v>320</v>
      </c>
      <c r="G10"/>
      <c r="H10"/>
      <c r="I10" s="9" t="s">
        <v>321</v>
      </c>
      <c r="J10" s="55"/>
      <c r="K10" s="55" t="s">
        <v>335</v>
      </c>
      <c r="L10" s="55" t="s">
        <v>216</v>
      </c>
      <c r="M10" s="55" t="s">
        <v>239</v>
      </c>
      <c r="N10" s="55" t="s">
        <v>322</v>
      </c>
      <c r="O10" s="55" t="s">
        <v>280</v>
      </c>
      <c r="P10" s="54">
        <v>0</v>
      </c>
      <c r="Q10" s="54">
        <v>1</v>
      </c>
      <c r="R10" s="54">
        <v>0</v>
      </c>
      <c r="S10" s="54">
        <v>0</v>
      </c>
      <c r="T10" s="54">
        <v>0</v>
      </c>
      <c r="U10" s="54">
        <v>0</v>
      </c>
      <c r="V10" s="54">
        <v>0</v>
      </c>
      <c r="W10" s="55" t="s">
        <v>299</v>
      </c>
      <c r="X10" s="55"/>
      <c r="Y10" s="54">
        <v>2</v>
      </c>
      <c r="Z10" s="55">
        <v>1950</v>
      </c>
    </row>
    <row r="11" spans="1:26" x14ac:dyDescent="0.2">
      <c r="A11">
        <v>2024</v>
      </c>
      <c r="B11" s="43" t="s">
        <v>37</v>
      </c>
      <c r="C11" t="s">
        <v>164</v>
      </c>
      <c r="D11" s="9" t="s">
        <v>108</v>
      </c>
      <c r="E11"/>
      <c r="F11" s="9" t="s">
        <v>320</v>
      </c>
      <c r="G11"/>
      <c r="H11"/>
      <c r="I11" s="9" t="s">
        <v>321</v>
      </c>
      <c r="J11" s="55"/>
      <c r="K11" s="55" t="s">
        <v>336</v>
      </c>
      <c r="L11" t="s">
        <v>219</v>
      </c>
      <c r="M11" t="s">
        <v>239</v>
      </c>
      <c r="N11" t="s">
        <v>322</v>
      </c>
      <c r="O11" t="s">
        <v>280</v>
      </c>
      <c r="P11" s="43">
        <v>1</v>
      </c>
      <c r="Q11" s="43">
        <v>1</v>
      </c>
      <c r="R11" s="43">
        <v>0</v>
      </c>
      <c r="S11" s="43">
        <v>1</v>
      </c>
      <c r="T11" s="43">
        <v>0</v>
      </c>
      <c r="U11" s="43">
        <v>1</v>
      </c>
      <c r="V11" s="43">
        <v>0</v>
      </c>
      <c r="W11" t="s">
        <v>192</v>
      </c>
      <c r="Y11" s="43">
        <v>2</v>
      </c>
      <c r="Z11" t="s">
        <v>309</v>
      </c>
    </row>
    <row r="12" spans="1:26" x14ac:dyDescent="0.2">
      <c r="A12">
        <v>2024</v>
      </c>
      <c r="B12" s="43" t="s">
        <v>38</v>
      </c>
      <c r="C12" t="s">
        <v>164</v>
      </c>
      <c r="D12" s="9" t="s">
        <v>108</v>
      </c>
      <c r="E12"/>
      <c r="F12" s="9" t="s">
        <v>320</v>
      </c>
      <c r="G12"/>
      <c r="H12"/>
      <c r="I12" s="9" t="s">
        <v>321</v>
      </c>
      <c r="J12" s="55"/>
      <c r="K12" s="55" t="s">
        <v>338</v>
      </c>
      <c r="L12" t="s">
        <v>216</v>
      </c>
      <c r="M12" t="s">
        <v>219</v>
      </c>
      <c r="N12" t="s">
        <v>322</v>
      </c>
      <c r="O12" t="s">
        <v>281</v>
      </c>
      <c r="P12" s="43">
        <v>1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t="s">
        <v>299</v>
      </c>
      <c r="Y12" s="43">
        <v>2</v>
      </c>
      <c r="Z12">
        <v>120</v>
      </c>
    </row>
    <row r="13" spans="1:26" x14ac:dyDescent="0.2">
      <c r="A13">
        <v>2024</v>
      </c>
      <c r="B13" s="17" t="s">
        <v>39</v>
      </c>
      <c r="C13" t="s">
        <v>165</v>
      </c>
      <c r="D13" s="9" t="s">
        <v>108</v>
      </c>
      <c r="E13"/>
      <c r="F13" s="9" t="s">
        <v>320</v>
      </c>
      <c r="G13"/>
      <c r="H13"/>
      <c r="I13" s="9" t="s">
        <v>323</v>
      </c>
      <c r="J13" s="55"/>
      <c r="K13" s="55" t="s">
        <v>335</v>
      </c>
      <c r="L13" s="56">
        <v>6</v>
      </c>
      <c r="M13" s="56">
        <v>4</v>
      </c>
      <c r="N13" t="s">
        <v>322</v>
      </c>
      <c r="O13" t="s">
        <v>305</v>
      </c>
      <c r="P13" s="43">
        <v>1</v>
      </c>
      <c r="Q13" s="43"/>
      <c r="R13" s="43"/>
      <c r="S13" s="43"/>
      <c r="T13" s="43"/>
      <c r="U13" s="43"/>
      <c r="V13" s="43"/>
      <c r="W13" t="s">
        <v>299</v>
      </c>
      <c r="Y13" s="43">
        <v>2</v>
      </c>
      <c r="Z13">
        <v>1906</v>
      </c>
    </row>
    <row r="14" spans="1:26" x14ac:dyDescent="0.2">
      <c r="A14">
        <v>2024</v>
      </c>
      <c r="B14" s="17" t="s">
        <v>43</v>
      </c>
      <c r="C14" t="s">
        <v>165</v>
      </c>
      <c r="D14" s="9" t="s">
        <v>108</v>
      </c>
      <c r="E14"/>
      <c r="F14" s="9" t="s">
        <v>320</v>
      </c>
      <c r="G14"/>
      <c r="H14"/>
      <c r="I14" s="9" t="s">
        <v>323</v>
      </c>
      <c r="J14" s="55"/>
      <c r="K14" s="55" t="s">
        <v>335</v>
      </c>
      <c r="L14" s="56">
        <v>6</v>
      </c>
      <c r="M14" s="56">
        <v>6</v>
      </c>
      <c r="N14" s="55" t="s">
        <v>322</v>
      </c>
      <c r="O14" t="s">
        <v>284</v>
      </c>
      <c r="P14" s="43"/>
      <c r="Q14" s="43">
        <v>1</v>
      </c>
      <c r="R14" s="43"/>
      <c r="S14" s="43">
        <v>1</v>
      </c>
      <c r="T14" s="43"/>
      <c r="U14" s="43">
        <v>1</v>
      </c>
      <c r="V14" s="43"/>
      <c r="W14" t="s">
        <v>299</v>
      </c>
      <c r="Y14" s="43">
        <v>2</v>
      </c>
      <c r="Z14">
        <v>588</v>
      </c>
    </row>
    <row r="15" spans="1:26" x14ac:dyDescent="0.2">
      <c r="A15">
        <v>2024</v>
      </c>
      <c r="B15" s="43" t="s">
        <v>44</v>
      </c>
      <c r="C15" t="s">
        <v>165</v>
      </c>
      <c r="D15" s="9" t="s">
        <v>108</v>
      </c>
      <c r="E15"/>
      <c r="F15" s="9" t="s">
        <v>320</v>
      </c>
      <c r="G15"/>
      <c r="H15"/>
      <c r="I15" s="9" t="s">
        <v>323</v>
      </c>
      <c r="J15" s="55"/>
      <c r="K15" s="55" t="s">
        <v>335</v>
      </c>
      <c r="L15" t="s">
        <v>219</v>
      </c>
      <c r="M15" t="s">
        <v>219</v>
      </c>
      <c r="N15" t="s">
        <v>322</v>
      </c>
      <c r="O15" t="s">
        <v>302</v>
      </c>
      <c r="P15" s="43">
        <v>1</v>
      </c>
      <c r="Q15" s="43">
        <v>1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t="s">
        <v>299</v>
      </c>
      <c r="Y15" s="43">
        <v>2</v>
      </c>
      <c r="Z15">
        <v>608</v>
      </c>
    </row>
    <row r="16" spans="1:26" x14ac:dyDescent="0.2">
      <c r="A16">
        <v>2024</v>
      </c>
      <c r="B16" s="43" t="s">
        <v>45</v>
      </c>
      <c r="C16" t="s">
        <v>164</v>
      </c>
      <c r="D16" s="9" t="s">
        <v>108</v>
      </c>
      <c r="E16"/>
      <c r="F16" s="9" t="s">
        <v>320</v>
      </c>
      <c r="G16"/>
      <c r="H16"/>
      <c r="I16" s="9" t="s">
        <v>321</v>
      </c>
      <c r="J16" s="55"/>
      <c r="K16" s="55" t="s">
        <v>335</v>
      </c>
      <c r="L16" t="s">
        <v>219</v>
      </c>
      <c r="M16" t="s">
        <v>219</v>
      </c>
      <c r="N16" t="s">
        <v>322</v>
      </c>
      <c r="O16" t="s">
        <v>284</v>
      </c>
      <c r="P16" s="43">
        <v>0</v>
      </c>
      <c r="Q16" s="43">
        <v>1</v>
      </c>
      <c r="R16" s="43">
        <v>0</v>
      </c>
      <c r="S16" s="43">
        <v>1</v>
      </c>
      <c r="T16" s="43">
        <v>0</v>
      </c>
      <c r="U16" s="43">
        <v>1</v>
      </c>
      <c r="V16" s="43">
        <v>0</v>
      </c>
      <c r="W16" t="s">
        <v>299</v>
      </c>
      <c r="Y16" s="43">
        <v>2</v>
      </c>
      <c r="Z16" t="s">
        <v>309</v>
      </c>
    </row>
    <row r="17" spans="1:26" x14ac:dyDescent="0.2">
      <c r="A17">
        <v>2024</v>
      </c>
      <c r="B17" s="43" t="s">
        <v>46</v>
      </c>
      <c r="C17" t="s">
        <v>165</v>
      </c>
      <c r="D17" s="9" t="s">
        <v>108</v>
      </c>
      <c r="E17"/>
      <c r="F17" s="9" t="s">
        <v>320</v>
      </c>
      <c r="G17"/>
      <c r="H17"/>
      <c r="I17" s="9" t="s">
        <v>323</v>
      </c>
      <c r="J17" s="55"/>
      <c r="K17" s="55" t="s">
        <v>336</v>
      </c>
      <c r="L17" t="s">
        <v>217</v>
      </c>
      <c r="M17" t="s">
        <v>239</v>
      </c>
      <c r="N17" t="s">
        <v>322</v>
      </c>
      <c r="O17" t="s">
        <v>306</v>
      </c>
      <c r="P17" s="43">
        <v>1</v>
      </c>
      <c r="Q17" s="43">
        <v>0</v>
      </c>
      <c r="R17" s="43">
        <v>0</v>
      </c>
      <c r="S17" s="43">
        <v>1</v>
      </c>
      <c r="T17" s="43">
        <v>0</v>
      </c>
      <c r="U17" s="43">
        <v>0</v>
      </c>
      <c r="V17" s="43">
        <v>0</v>
      </c>
      <c r="W17" t="s">
        <v>299</v>
      </c>
      <c r="Y17" s="43">
        <v>2</v>
      </c>
      <c r="Z17">
        <v>466</v>
      </c>
    </row>
    <row r="18" spans="1:26" x14ac:dyDescent="0.2">
      <c r="A18">
        <v>2024</v>
      </c>
      <c r="B18" s="43" t="s">
        <v>47</v>
      </c>
      <c r="C18" t="s">
        <v>164</v>
      </c>
      <c r="D18" s="9" t="s">
        <v>108</v>
      </c>
      <c r="E18"/>
      <c r="F18" s="9" t="s">
        <v>320</v>
      </c>
      <c r="G18"/>
      <c r="H18"/>
      <c r="I18" s="9" t="s">
        <v>323</v>
      </c>
      <c r="J18" s="55"/>
      <c r="K18" s="55" t="s">
        <v>335</v>
      </c>
      <c r="L18" t="s">
        <v>216</v>
      </c>
      <c r="M18" t="s">
        <v>219</v>
      </c>
      <c r="N18" t="s">
        <v>322</v>
      </c>
      <c r="O18" t="s">
        <v>284</v>
      </c>
      <c r="P18" s="43">
        <v>0</v>
      </c>
      <c r="Q18" s="43">
        <v>0</v>
      </c>
      <c r="R18" s="43">
        <v>0</v>
      </c>
      <c r="S18" s="43">
        <v>1</v>
      </c>
      <c r="T18" s="43">
        <v>0</v>
      </c>
      <c r="U18" s="43">
        <v>0</v>
      </c>
      <c r="V18" s="43">
        <v>0</v>
      </c>
      <c r="W18" t="s">
        <v>299</v>
      </c>
      <c r="Y18" s="43">
        <v>2</v>
      </c>
      <c r="Z18">
        <v>190</v>
      </c>
    </row>
    <row r="19" spans="1:26" x14ac:dyDescent="0.2">
      <c r="A19">
        <v>2024</v>
      </c>
      <c r="B19" s="17" t="s">
        <v>48</v>
      </c>
      <c r="C19" t="s">
        <v>165</v>
      </c>
      <c r="D19" s="9" t="s">
        <v>108</v>
      </c>
      <c r="E19"/>
      <c r="F19" s="9" t="s">
        <v>320</v>
      </c>
      <c r="G19"/>
      <c r="H19" t="s">
        <v>331</v>
      </c>
      <c r="I19" s="9" t="s">
        <v>321</v>
      </c>
      <c r="J19" s="55"/>
      <c r="K19" s="55" t="s">
        <v>336</v>
      </c>
      <c r="L19" s="56">
        <v>6</v>
      </c>
      <c r="M19" s="56">
        <v>4</v>
      </c>
      <c r="N19" t="s">
        <v>324</v>
      </c>
      <c r="O19" t="s">
        <v>301</v>
      </c>
      <c r="P19" s="43"/>
      <c r="Q19" s="43">
        <v>1</v>
      </c>
      <c r="R19" s="43"/>
      <c r="S19" s="43"/>
      <c r="T19" s="43"/>
      <c r="U19" s="43"/>
      <c r="V19" s="43"/>
      <c r="W19" t="s">
        <v>299</v>
      </c>
      <c r="Y19" s="43">
        <v>2</v>
      </c>
      <c r="Z19">
        <v>204</v>
      </c>
    </row>
    <row r="20" spans="1:26" x14ac:dyDescent="0.2">
      <c r="A20">
        <v>2024</v>
      </c>
      <c r="B20" s="43" t="s">
        <v>49</v>
      </c>
      <c r="C20" t="s">
        <v>164</v>
      </c>
      <c r="D20" s="9" t="s">
        <v>108</v>
      </c>
      <c r="E20"/>
      <c r="F20" s="9" t="s">
        <v>320</v>
      </c>
      <c r="G20"/>
      <c r="H20"/>
      <c r="I20" s="9" t="s">
        <v>321</v>
      </c>
      <c r="J20" s="55"/>
      <c r="K20" s="55" t="s">
        <v>335</v>
      </c>
      <c r="L20" t="s">
        <v>219</v>
      </c>
      <c r="M20" t="s">
        <v>239</v>
      </c>
      <c r="N20" t="s">
        <v>324</v>
      </c>
      <c r="O20" t="s">
        <v>280</v>
      </c>
      <c r="P20" s="43">
        <v>0</v>
      </c>
      <c r="Q20" s="43">
        <v>1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t="s">
        <v>192</v>
      </c>
      <c r="Y20" s="43">
        <v>2</v>
      </c>
      <c r="Z20">
        <v>110</v>
      </c>
    </row>
    <row r="21" spans="1:26" x14ac:dyDescent="0.2">
      <c r="A21">
        <v>2024</v>
      </c>
      <c r="B21" s="43" t="s">
        <v>50</v>
      </c>
      <c r="C21" t="s">
        <v>165</v>
      </c>
      <c r="D21" s="9" t="s">
        <v>108</v>
      </c>
      <c r="E21"/>
      <c r="F21" s="9" t="s">
        <v>320</v>
      </c>
      <c r="G21"/>
      <c r="H21" t="s">
        <v>331</v>
      </c>
      <c r="I21" s="9" t="s">
        <v>321</v>
      </c>
      <c r="J21" s="55"/>
      <c r="K21" s="55" t="s">
        <v>336</v>
      </c>
      <c r="L21" t="s">
        <v>216</v>
      </c>
      <c r="M21" t="s">
        <v>219</v>
      </c>
      <c r="N21" t="s">
        <v>324</v>
      </c>
      <c r="O21" t="s">
        <v>280</v>
      </c>
      <c r="P21" s="43">
        <v>1</v>
      </c>
      <c r="Q21" s="43">
        <v>0</v>
      </c>
      <c r="R21" s="43">
        <v>0</v>
      </c>
      <c r="S21" s="43">
        <v>1</v>
      </c>
      <c r="T21" s="43">
        <v>0</v>
      </c>
      <c r="U21" s="43">
        <v>1</v>
      </c>
      <c r="V21" s="43">
        <v>0</v>
      </c>
      <c r="Y21" s="43">
        <v>2</v>
      </c>
      <c r="Z21">
        <v>2056</v>
      </c>
    </row>
    <row r="22" spans="1:26" x14ac:dyDescent="0.2">
      <c r="A22">
        <v>2024</v>
      </c>
      <c r="B22" s="43" t="s">
        <v>51</v>
      </c>
      <c r="C22" t="s">
        <v>164</v>
      </c>
      <c r="D22" s="9" t="s">
        <v>108</v>
      </c>
      <c r="E22"/>
      <c r="F22" s="9" t="s">
        <v>320</v>
      </c>
      <c r="G22"/>
      <c r="H22"/>
      <c r="I22" s="9" t="s">
        <v>321</v>
      </c>
      <c r="J22" s="55"/>
      <c r="K22" s="55" t="s">
        <v>335</v>
      </c>
      <c r="L22" t="s">
        <v>219</v>
      </c>
      <c r="M22" t="s">
        <v>239</v>
      </c>
      <c r="N22" t="s">
        <v>324</v>
      </c>
      <c r="O22" t="s">
        <v>280</v>
      </c>
      <c r="P22" s="43">
        <v>1</v>
      </c>
      <c r="Q22" s="43">
        <v>1</v>
      </c>
      <c r="R22" s="43">
        <v>1</v>
      </c>
      <c r="S22" s="43">
        <v>1</v>
      </c>
      <c r="T22" s="43">
        <v>0</v>
      </c>
      <c r="U22" s="43">
        <v>0</v>
      </c>
      <c r="V22" s="43">
        <v>0</v>
      </c>
      <c r="W22" t="s">
        <v>299</v>
      </c>
      <c r="Y22" s="43">
        <v>2</v>
      </c>
      <c r="Z22" t="s">
        <v>309</v>
      </c>
    </row>
    <row r="23" spans="1:26" x14ac:dyDescent="0.2">
      <c r="A23">
        <v>2024</v>
      </c>
      <c r="B23" s="43" t="s">
        <v>53</v>
      </c>
      <c r="C23" t="s">
        <v>165</v>
      </c>
      <c r="D23" s="9" t="s">
        <v>108</v>
      </c>
      <c r="E23"/>
      <c r="F23" s="9" t="s">
        <v>320</v>
      </c>
      <c r="G23" t="s">
        <v>346</v>
      </c>
      <c r="H23"/>
      <c r="I23" t="s">
        <v>321</v>
      </c>
      <c r="J23" s="55"/>
      <c r="K23" s="55" t="s">
        <v>336</v>
      </c>
      <c r="L23" t="s">
        <v>216</v>
      </c>
      <c r="M23" t="s">
        <v>210</v>
      </c>
      <c r="N23" t="s">
        <v>324</v>
      </c>
      <c r="O23" t="s">
        <v>281</v>
      </c>
      <c r="P23" s="43">
        <v>1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1</v>
      </c>
      <c r="W23" t="s">
        <v>299</v>
      </c>
      <c r="Y23" s="43">
        <v>2</v>
      </c>
      <c r="Z23" t="s">
        <v>309</v>
      </c>
    </row>
    <row r="24" spans="1:26" x14ac:dyDescent="0.2">
      <c r="A24">
        <v>2024</v>
      </c>
      <c r="B24" s="43" t="s">
        <v>54</v>
      </c>
      <c r="C24" t="s">
        <v>164</v>
      </c>
      <c r="D24" s="9" t="s">
        <v>108</v>
      </c>
      <c r="E24"/>
      <c r="F24" s="9" t="s">
        <v>320</v>
      </c>
      <c r="G24"/>
      <c r="H24" t="s">
        <v>331</v>
      </c>
      <c r="I24" s="9" t="s">
        <v>321</v>
      </c>
      <c r="J24" s="55"/>
      <c r="K24" s="55" t="s">
        <v>336</v>
      </c>
      <c r="L24" t="s">
        <v>219</v>
      </c>
      <c r="M24" t="s">
        <v>219</v>
      </c>
      <c r="N24" t="s">
        <v>324</v>
      </c>
      <c r="O24" t="s">
        <v>280</v>
      </c>
      <c r="P24" s="43">
        <v>1</v>
      </c>
      <c r="Q24" s="43">
        <v>1</v>
      </c>
      <c r="R24" s="43">
        <v>0</v>
      </c>
      <c r="S24" s="43">
        <v>1</v>
      </c>
      <c r="T24" s="43">
        <v>0</v>
      </c>
      <c r="U24" s="43">
        <v>1</v>
      </c>
      <c r="V24" s="43">
        <v>0</v>
      </c>
      <c r="W24" t="s">
        <v>192</v>
      </c>
      <c r="Y24" s="43">
        <v>2</v>
      </c>
      <c r="Z24">
        <v>226</v>
      </c>
    </row>
    <row r="25" spans="1:26" x14ac:dyDescent="0.2">
      <c r="A25">
        <v>2024</v>
      </c>
      <c r="B25" s="43" t="s">
        <v>55</v>
      </c>
      <c r="C25" t="s">
        <v>165</v>
      </c>
      <c r="D25" s="9" t="s">
        <v>108</v>
      </c>
      <c r="E25"/>
      <c r="F25" s="9" t="s">
        <v>320</v>
      </c>
      <c r="G25"/>
      <c r="H25"/>
      <c r="I25" s="9" t="s">
        <v>321</v>
      </c>
      <c r="J25" s="55"/>
      <c r="K25" s="55" t="s">
        <v>336</v>
      </c>
      <c r="L25" t="s">
        <v>217</v>
      </c>
      <c r="M25" t="s">
        <v>239</v>
      </c>
      <c r="N25" t="s">
        <v>324</v>
      </c>
      <c r="O25" t="s">
        <v>280</v>
      </c>
      <c r="P25" s="43">
        <v>0</v>
      </c>
      <c r="Q25" s="43">
        <v>1</v>
      </c>
      <c r="R25" s="43">
        <v>0</v>
      </c>
      <c r="S25" s="43">
        <v>1</v>
      </c>
      <c r="T25" s="43">
        <v>0</v>
      </c>
      <c r="U25" s="43">
        <v>0</v>
      </c>
      <c r="V25" s="43">
        <v>0</v>
      </c>
      <c r="W25" t="s">
        <v>299</v>
      </c>
      <c r="Y25" s="43">
        <v>2</v>
      </c>
      <c r="Z25">
        <v>856</v>
      </c>
    </row>
    <row r="26" spans="1:26" x14ac:dyDescent="0.2">
      <c r="A26">
        <v>2024</v>
      </c>
      <c r="B26" s="17" t="s">
        <v>56</v>
      </c>
      <c r="C26" t="s">
        <v>165</v>
      </c>
      <c r="D26" s="9" t="s">
        <v>108</v>
      </c>
      <c r="E26"/>
      <c r="F26" s="9" t="s">
        <v>320</v>
      </c>
      <c r="G26"/>
      <c r="H26"/>
      <c r="I26" s="9" t="s">
        <v>321</v>
      </c>
      <c r="J26" s="55"/>
      <c r="K26" s="55" t="s">
        <v>335</v>
      </c>
      <c r="L26" s="56">
        <v>6</v>
      </c>
      <c r="M26" s="56">
        <v>6</v>
      </c>
      <c r="N26" t="s">
        <v>324</v>
      </c>
      <c r="O26" t="s">
        <v>306</v>
      </c>
      <c r="P26" s="43"/>
      <c r="Q26" s="43"/>
      <c r="R26" s="43"/>
      <c r="S26" s="43">
        <v>1</v>
      </c>
      <c r="T26" s="43"/>
      <c r="U26" s="43"/>
      <c r="V26" s="43"/>
      <c r="W26" t="s">
        <v>299</v>
      </c>
      <c r="Y26" s="43">
        <v>2</v>
      </c>
      <c r="Z26" t="s">
        <v>309</v>
      </c>
    </row>
    <row r="27" spans="1:26" x14ac:dyDescent="0.2">
      <c r="A27">
        <v>2024</v>
      </c>
      <c r="B27" s="43" t="s">
        <v>57</v>
      </c>
      <c r="C27" t="s">
        <v>165</v>
      </c>
      <c r="D27" s="9" t="s">
        <v>108</v>
      </c>
      <c r="E27"/>
      <c r="F27" s="9" t="s">
        <v>320</v>
      </c>
      <c r="G27" t="s">
        <v>345</v>
      </c>
      <c r="H27"/>
      <c r="I27" s="9" t="s">
        <v>321</v>
      </c>
      <c r="J27" s="55"/>
      <c r="K27" s="55" t="s">
        <v>336</v>
      </c>
      <c r="L27" t="s">
        <v>219</v>
      </c>
      <c r="M27" t="s">
        <v>239</v>
      </c>
      <c r="N27" t="s">
        <v>324</v>
      </c>
      <c r="O27" t="s">
        <v>280</v>
      </c>
      <c r="P27" s="43">
        <v>0</v>
      </c>
      <c r="Q27" s="43">
        <v>1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t="s">
        <v>299</v>
      </c>
      <c r="Y27" s="43">
        <v>2</v>
      </c>
      <c r="Z27">
        <v>556</v>
      </c>
    </row>
    <row r="28" spans="1:26" x14ac:dyDescent="0.2">
      <c r="A28">
        <v>2024</v>
      </c>
      <c r="B28" s="43" t="s">
        <v>58</v>
      </c>
      <c r="C28" t="s">
        <v>164</v>
      </c>
      <c r="D28" s="9" t="s">
        <v>108</v>
      </c>
      <c r="E28"/>
      <c r="F28" s="9" t="s">
        <v>320</v>
      </c>
      <c r="G28"/>
      <c r="H28"/>
      <c r="I28" s="9" t="s">
        <v>321</v>
      </c>
      <c r="J28" s="55"/>
      <c r="K28" s="55" t="s">
        <v>335</v>
      </c>
      <c r="L28" t="s">
        <v>219</v>
      </c>
      <c r="M28" t="s">
        <v>219</v>
      </c>
      <c r="N28" t="s">
        <v>324</v>
      </c>
      <c r="O28" t="s">
        <v>281</v>
      </c>
      <c r="P28" s="43">
        <v>1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t="s">
        <v>299</v>
      </c>
      <c r="Y28" s="43">
        <v>2</v>
      </c>
      <c r="Z28" t="s">
        <v>309</v>
      </c>
    </row>
    <row r="29" spans="1:26" x14ac:dyDescent="0.2">
      <c r="A29">
        <v>2024</v>
      </c>
      <c r="B29" s="43" t="s">
        <v>59</v>
      </c>
      <c r="C29" t="s">
        <v>165</v>
      </c>
      <c r="D29" s="9" t="s">
        <v>108</v>
      </c>
      <c r="E29"/>
      <c r="F29" s="9" t="s">
        <v>320</v>
      </c>
      <c r="G29"/>
      <c r="H29" t="s">
        <v>331</v>
      </c>
      <c r="I29" s="9" t="s">
        <v>323</v>
      </c>
      <c r="J29" s="55"/>
      <c r="K29" s="55" t="s">
        <v>338</v>
      </c>
      <c r="L29" t="s">
        <v>212</v>
      </c>
      <c r="M29" t="s">
        <v>217</v>
      </c>
      <c r="N29" t="s">
        <v>324</v>
      </c>
      <c r="O29" t="s">
        <v>282</v>
      </c>
      <c r="P29" s="43">
        <v>1</v>
      </c>
      <c r="Q29" s="43">
        <v>0</v>
      </c>
      <c r="R29" s="43">
        <v>0</v>
      </c>
      <c r="S29" s="43">
        <v>1</v>
      </c>
      <c r="T29" s="43">
        <v>0</v>
      </c>
      <c r="U29" s="43">
        <v>0</v>
      </c>
      <c r="V29" s="43">
        <v>0</v>
      </c>
      <c r="W29" t="s">
        <v>299</v>
      </c>
      <c r="Y29" s="43">
        <v>2</v>
      </c>
      <c r="Z29">
        <v>586</v>
      </c>
    </row>
    <row r="30" spans="1:26" x14ac:dyDescent="0.2">
      <c r="A30">
        <v>2024</v>
      </c>
      <c r="B30" s="43" t="s">
        <v>60</v>
      </c>
      <c r="C30" t="s">
        <v>165</v>
      </c>
      <c r="D30" s="9" t="s">
        <v>108</v>
      </c>
      <c r="E30"/>
      <c r="F30" s="9" t="s">
        <v>320</v>
      </c>
      <c r="G30"/>
      <c r="H30" t="s">
        <v>331</v>
      </c>
      <c r="I30" s="9" t="s">
        <v>323</v>
      </c>
      <c r="J30" s="55"/>
      <c r="K30" s="55" t="s">
        <v>335</v>
      </c>
      <c r="L30" t="s">
        <v>219</v>
      </c>
      <c r="M30" t="s">
        <v>217</v>
      </c>
      <c r="N30" t="s">
        <v>324</v>
      </c>
      <c r="O30" t="s">
        <v>281</v>
      </c>
      <c r="P30" s="43">
        <v>1</v>
      </c>
      <c r="Q30" s="43">
        <v>1</v>
      </c>
      <c r="R30" s="43">
        <v>1</v>
      </c>
      <c r="S30" s="43">
        <v>1</v>
      </c>
      <c r="T30" s="43">
        <v>1</v>
      </c>
      <c r="U30" s="43">
        <v>0</v>
      </c>
      <c r="V30" s="43">
        <v>0</v>
      </c>
      <c r="W30" t="s">
        <v>299</v>
      </c>
      <c r="Y30" s="43">
        <v>2</v>
      </c>
      <c r="Z30" t="s">
        <v>309</v>
      </c>
    </row>
    <row r="31" spans="1:26" x14ac:dyDescent="0.2">
      <c r="A31">
        <v>2024</v>
      </c>
      <c r="B31" s="43" t="s">
        <v>61</v>
      </c>
      <c r="C31" t="s">
        <v>164</v>
      </c>
      <c r="D31" s="9" t="s">
        <v>108</v>
      </c>
      <c r="E31"/>
      <c r="F31" s="9" t="s">
        <v>320</v>
      </c>
      <c r="G31"/>
      <c r="H31"/>
      <c r="I31" s="9" t="s">
        <v>323</v>
      </c>
      <c r="J31" s="55"/>
      <c r="K31" s="55" t="s">
        <v>335</v>
      </c>
      <c r="L31" t="s">
        <v>216</v>
      </c>
      <c r="M31" t="s">
        <v>210</v>
      </c>
      <c r="N31" t="s">
        <v>324</v>
      </c>
      <c r="O31" t="s">
        <v>306</v>
      </c>
      <c r="P31" s="43">
        <v>1</v>
      </c>
      <c r="Q31" s="43">
        <v>0</v>
      </c>
      <c r="R31" s="43">
        <v>0</v>
      </c>
      <c r="S31" s="43">
        <v>1</v>
      </c>
      <c r="T31" s="43">
        <v>0</v>
      </c>
      <c r="U31" s="43">
        <v>0</v>
      </c>
      <c r="V31" s="43">
        <v>0</v>
      </c>
      <c r="W31" t="s">
        <v>299</v>
      </c>
      <c r="Y31" s="43">
        <v>2</v>
      </c>
      <c r="Z31">
        <v>946</v>
      </c>
    </row>
    <row r="32" spans="1:26" x14ac:dyDescent="0.2">
      <c r="A32">
        <v>2024</v>
      </c>
      <c r="B32" s="43" t="s">
        <v>62</v>
      </c>
      <c r="C32" s="47" t="s">
        <v>165</v>
      </c>
      <c r="D32" s="9" t="s">
        <v>108</v>
      </c>
      <c r="E32"/>
      <c r="F32" s="9" t="s">
        <v>320</v>
      </c>
      <c r="G32"/>
      <c r="H32"/>
      <c r="I32" s="9" t="s">
        <v>321</v>
      </c>
      <c r="J32" s="55"/>
      <c r="K32" s="55" t="s">
        <v>336</v>
      </c>
      <c r="L32" t="s">
        <v>217</v>
      </c>
      <c r="M32" t="s">
        <v>219</v>
      </c>
      <c r="N32" t="s">
        <v>322</v>
      </c>
      <c r="O32" t="s">
        <v>280</v>
      </c>
      <c r="P32" s="43">
        <v>1</v>
      </c>
      <c r="Q32" s="43">
        <v>1</v>
      </c>
      <c r="R32" s="43">
        <v>0</v>
      </c>
      <c r="S32" s="43">
        <v>1</v>
      </c>
      <c r="T32" s="43">
        <v>0</v>
      </c>
      <c r="U32" s="43">
        <v>0</v>
      </c>
      <c r="V32" s="43">
        <v>0</v>
      </c>
      <c r="W32" t="s">
        <v>192</v>
      </c>
      <c r="Y32" s="43">
        <v>2</v>
      </c>
      <c r="Z32">
        <v>1852</v>
      </c>
    </row>
    <row r="33" spans="1:26" x14ac:dyDescent="0.2">
      <c r="A33">
        <v>2024</v>
      </c>
      <c r="B33" s="43" t="s">
        <v>64</v>
      </c>
      <c r="C33" t="s">
        <v>164</v>
      </c>
      <c r="D33" s="9" t="s">
        <v>108</v>
      </c>
      <c r="E33"/>
      <c r="F33" s="9" t="s">
        <v>320</v>
      </c>
      <c r="G33"/>
      <c r="H33"/>
      <c r="I33" s="9" t="s">
        <v>321</v>
      </c>
      <c r="J33" s="55"/>
      <c r="K33" s="55" t="s">
        <v>335</v>
      </c>
      <c r="L33" t="s">
        <v>219</v>
      </c>
      <c r="M33" t="s">
        <v>219</v>
      </c>
      <c r="N33" t="s">
        <v>322</v>
      </c>
      <c r="O33" t="s">
        <v>283</v>
      </c>
      <c r="P33" s="43">
        <v>1</v>
      </c>
      <c r="Q33" s="43">
        <v>0</v>
      </c>
      <c r="R33" s="43">
        <v>0</v>
      </c>
      <c r="S33" s="43">
        <v>1</v>
      </c>
      <c r="T33" s="43">
        <v>0</v>
      </c>
      <c r="U33" s="43">
        <v>0</v>
      </c>
      <c r="V33" s="43">
        <v>0</v>
      </c>
      <c r="W33" t="s">
        <v>299</v>
      </c>
      <c r="Y33" s="43">
        <v>2</v>
      </c>
      <c r="Z33">
        <v>166</v>
      </c>
    </row>
    <row r="34" spans="1:26" x14ac:dyDescent="0.2">
      <c r="A34">
        <v>2024</v>
      </c>
      <c r="B34" s="43" t="s">
        <v>66</v>
      </c>
      <c r="C34" t="s">
        <v>164</v>
      </c>
      <c r="D34" s="9" t="s">
        <v>108</v>
      </c>
      <c r="E34"/>
      <c r="F34" s="9" t="s">
        <v>320</v>
      </c>
      <c r="G34"/>
      <c r="H34" t="s">
        <v>331</v>
      </c>
      <c r="I34" s="9" t="s">
        <v>321</v>
      </c>
      <c r="J34" s="55"/>
      <c r="K34" s="55" t="s">
        <v>335</v>
      </c>
      <c r="L34" t="s">
        <v>219</v>
      </c>
      <c r="M34" t="s">
        <v>219</v>
      </c>
      <c r="N34" t="s">
        <v>322</v>
      </c>
      <c r="O34" t="s">
        <v>280</v>
      </c>
      <c r="P34" s="43">
        <v>1</v>
      </c>
      <c r="Q34" s="43">
        <v>1</v>
      </c>
      <c r="R34" s="43">
        <v>0</v>
      </c>
      <c r="S34" s="43">
        <v>1</v>
      </c>
      <c r="T34" s="43">
        <v>0</v>
      </c>
      <c r="U34" s="43">
        <v>1</v>
      </c>
      <c r="V34" s="43">
        <v>0</v>
      </c>
      <c r="W34" t="s">
        <v>299</v>
      </c>
      <c r="Y34" s="43">
        <v>2</v>
      </c>
      <c r="Z34">
        <v>1272</v>
      </c>
    </row>
    <row r="35" spans="1:26" x14ac:dyDescent="0.2">
      <c r="A35">
        <v>2024</v>
      </c>
      <c r="B35" s="43" t="s">
        <v>67</v>
      </c>
      <c r="C35" t="s">
        <v>164</v>
      </c>
      <c r="D35" s="9" t="s">
        <v>108</v>
      </c>
      <c r="E35"/>
      <c r="F35" s="9" t="s">
        <v>320</v>
      </c>
      <c r="G35"/>
      <c r="H35"/>
      <c r="I35" s="9" t="s">
        <v>321</v>
      </c>
      <c r="J35" s="55"/>
      <c r="K35" s="55" t="s">
        <v>335</v>
      </c>
      <c r="L35" t="s">
        <v>219</v>
      </c>
      <c r="M35" t="s">
        <v>219</v>
      </c>
      <c r="N35" t="s">
        <v>322</v>
      </c>
      <c r="O35" t="s">
        <v>280</v>
      </c>
      <c r="P35" s="43">
        <v>1</v>
      </c>
      <c r="Q35" s="43">
        <v>1</v>
      </c>
      <c r="R35" s="43">
        <v>0</v>
      </c>
      <c r="S35" s="43">
        <v>1</v>
      </c>
      <c r="T35" s="43">
        <v>0</v>
      </c>
      <c r="U35" s="43">
        <v>0</v>
      </c>
      <c r="V35" s="43">
        <v>0</v>
      </c>
      <c r="W35" t="s">
        <v>192</v>
      </c>
      <c r="Y35" s="43">
        <v>2</v>
      </c>
      <c r="Z35">
        <v>76</v>
      </c>
    </row>
    <row r="36" spans="1:26" x14ac:dyDescent="0.2">
      <c r="A36">
        <v>2024</v>
      </c>
      <c r="B36" s="43" t="s">
        <v>68</v>
      </c>
      <c r="C36" t="s">
        <v>165</v>
      </c>
      <c r="D36" s="9" t="s">
        <v>108</v>
      </c>
      <c r="E36"/>
      <c r="F36" s="9" t="s">
        <v>320</v>
      </c>
      <c r="G36"/>
      <c r="H36"/>
      <c r="I36" s="9" t="s">
        <v>321</v>
      </c>
      <c r="J36" s="55"/>
      <c r="K36" s="55" t="s">
        <v>335</v>
      </c>
      <c r="L36" t="s">
        <v>219</v>
      </c>
      <c r="M36" t="s">
        <v>239</v>
      </c>
      <c r="N36" t="s">
        <v>322</v>
      </c>
      <c r="O36" t="s">
        <v>281</v>
      </c>
      <c r="P36" s="43">
        <v>1</v>
      </c>
      <c r="Q36" s="43">
        <v>0</v>
      </c>
      <c r="R36" s="43">
        <v>1</v>
      </c>
      <c r="S36" s="43">
        <v>0</v>
      </c>
      <c r="T36" s="43">
        <v>0</v>
      </c>
      <c r="U36" s="43">
        <v>0</v>
      </c>
      <c r="V36" s="43">
        <v>0</v>
      </c>
      <c r="W36" t="s">
        <v>299</v>
      </c>
      <c r="Y36" s="43">
        <v>2</v>
      </c>
      <c r="Z36">
        <v>256</v>
      </c>
    </row>
    <row r="37" spans="1:26" x14ac:dyDescent="0.2">
      <c r="A37">
        <v>2024</v>
      </c>
      <c r="B37" s="43" t="s">
        <v>69</v>
      </c>
      <c r="C37" t="s">
        <v>164</v>
      </c>
      <c r="D37" s="9" t="s">
        <v>108</v>
      </c>
      <c r="E37"/>
      <c r="F37" s="9" t="s">
        <v>320</v>
      </c>
      <c r="G37"/>
      <c r="H37" t="s">
        <v>331</v>
      </c>
      <c r="I37" s="9" t="s">
        <v>321</v>
      </c>
      <c r="J37" s="55"/>
      <c r="K37" s="55" t="s">
        <v>335</v>
      </c>
      <c r="L37" t="s">
        <v>217</v>
      </c>
      <c r="M37" t="s">
        <v>217</v>
      </c>
      <c r="N37" t="s">
        <v>322</v>
      </c>
      <c r="O37" t="s">
        <v>303</v>
      </c>
      <c r="P37" s="43">
        <v>1</v>
      </c>
      <c r="Q37" s="43">
        <v>1</v>
      </c>
      <c r="R37" s="43">
        <v>0</v>
      </c>
      <c r="S37" s="43">
        <v>1</v>
      </c>
      <c r="T37" s="43">
        <v>0</v>
      </c>
      <c r="U37" s="43">
        <v>1</v>
      </c>
      <c r="V37" s="43">
        <v>0</v>
      </c>
      <c r="W37" t="s">
        <v>299</v>
      </c>
      <c r="Y37" s="43">
        <v>2</v>
      </c>
      <c r="Z37">
        <v>766</v>
      </c>
    </row>
    <row r="38" spans="1:26" x14ac:dyDescent="0.2">
      <c r="A38">
        <v>2024</v>
      </c>
      <c r="B38" s="43" t="s">
        <v>70</v>
      </c>
      <c r="C38" t="s">
        <v>164</v>
      </c>
      <c r="D38" s="9" t="s">
        <v>108</v>
      </c>
      <c r="E38"/>
      <c r="F38" s="9" t="s">
        <v>320</v>
      </c>
      <c r="G38"/>
      <c r="H38"/>
      <c r="I38" s="9" t="s">
        <v>321</v>
      </c>
      <c r="J38" s="55"/>
      <c r="K38" s="55" t="s">
        <v>335</v>
      </c>
      <c r="L38" t="s">
        <v>213</v>
      </c>
      <c r="M38" t="s">
        <v>219</v>
      </c>
      <c r="N38" t="s">
        <v>322</v>
      </c>
      <c r="O38" t="s">
        <v>280</v>
      </c>
      <c r="P38" s="43">
        <v>0</v>
      </c>
      <c r="Q38" s="43">
        <v>1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t="s">
        <v>299</v>
      </c>
      <c r="Y38" s="43">
        <v>2</v>
      </c>
      <c r="Z38">
        <v>284</v>
      </c>
    </row>
    <row r="39" spans="1:26" x14ac:dyDescent="0.2">
      <c r="A39">
        <v>2024</v>
      </c>
      <c r="B39" s="43" t="s">
        <v>72</v>
      </c>
      <c r="C39" t="s">
        <v>165</v>
      </c>
      <c r="D39" s="9" t="s">
        <v>108</v>
      </c>
      <c r="E39"/>
      <c r="F39" s="9" t="s">
        <v>320</v>
      </c>
      <c r="G39"/>
      <c r="H39"/>
      <c r="I39" s="9" t="s">
        <v>321</v>
      </c>
      <c r="J39" s="55"/>
      <c r="K39" s="55" t="s">
        <v>336</v>
      </c>
      <c r="L39" t="s">
        <v>219</v>
      </c>
      <c r="M39" t="s">
        <v>217</v>
      </c>
      <c r="N39" t="s">
        <v>322</v>
      </c>
      <c r="O39" t="s">
        <v>281</v>
      </c>
      <c r="P39" s="43">
        <v>1</v>
      </c>
      <c r="Q39" s="43">
        <v>0</v>
      </c>
      <c r="R39" s="43">
        <v>1</v>
      </c>
      <c r="S39" s="43">
        <v>0</v>
      </c>
      <c r="T39" s="43">
        <v>0</v>
      </c>
      <c r="U39" s="43">
        <v>0</v>
      </c>
      <c r="V39" s="43">
        <v>0</v>
      </c>
      <c r="W39" t="s">
        <v>299</v>
      </c>
      <c r="Y39" s="43">
        <v>2</v>
      </c>
      <c r="Z39">
        <v>616</v>
      </c>
    </row>
    <row r="40" spans="1:26" x14ac:dyDescent="0.2">
      <c r="A40">
        <v>2024</v>
      </c>
      <c r="B40" s="43" t="s">
        <v>73</v>
      </c>
      <c r="C40" t="s">
        <v>165</v>
      </c>
      <c r="D40" s="9" t="s">
        <v>108</v>
      </c>
      <c r="E40"/>
      <c r="F40" s="9" t="s">
        <v>320</v>
      </c>
      <c r="G40"/>
      <c r="H40"/>
      <c r="I40" s="9" t="s">
        <v>321</v>
      </c>
      <c r="J40" s="55"/>
      <c r="K40" s="55" t="s">
        <v>335</v>
      </c>
      <c r="L40" t="s">
        <v>219</v>
      </c>
      <c r="M40" t="s">
        <v>219</v>
      </c>
      <c r="N40" t="s">
        <v>322</v>
      </c>
      <c r="O40" t="s">
        <v>304</v>
      </c>
      <c r="P40" s="43">
        <v>0</v>
      </c>
      <c r="Q40" s="43">
        <v>0</v>
      </c>
      <c r="R40" s="43">
        <v>1</v>
      </c>
      <c r="S40" s="43">
        <v>0</v>
      </c>
      <c r="T40" s="43">
        <v>0</v>
      </c>
      <c r="U40" s="43">
        <v>0</v>
      </c>
      <c r="V40" s="43">
        <v>0</v>
      </c>
      <c r="W40" t="s">
        <v>299</v>
      </c>
      <c r="Y40" s="43">
        <v>2</v>
      </c>
      <c r="Z40">
        <v>376</v>
      </c>
    </row>
    <row r="41" spans="1:26" x14ac:dyDescent="0.2">
      <c r="A41">
        <v>2024</v>
      </c>
      <c r="B41" s="43" t="s">
        <v>74</v>
      </c>
      <c r="C41" t="s">
        <v>165</v>
      </c>
      <c r="D41" s="9" t="s">
        <v>108</v>
      </c>
      <c r="E41"/>
      <c r="F41" s="9" t="s">
        <v>320</v>
      </c>
      <c r="G41"/>
      <c r="H41" t="s">
        <v>331</v>
      </c>
      <c r="I41" s="9" t="s">
        <v>321</v>
      </c>
      <c r="J41" s="55"/>
      <c r="K41" s="55" t="s">
        <v>336</v>
      </c>
      <c r="L41" t="s">
        <v>216</v>
      </c>
      <c r="M41" t="s">
        <v>239</v>
      </c>
      <c r="N41" t="s">
        <v>322</v>
      </c>
      <c r="O41" t="s">
        <v>280</v>
      </c>
      <c r="P41" s="43">
        <v>1</v>
      </c>
      <c r="Q41" s="43">
        <v>0</v>
      </c>
      <c r="R41" s="43">
        <v>0</v>
      </c>
      <c r="S41" s="43">
        <v>1</v>
      </c>
      <c r="T41" s="43">
        <v>0</v>
      </c>
      <c r="U41" s="43">
        <v>1</v>
      </c>
      <c r="V41" s="43">
        <v>0</v>
      </c>
      <c r="W41" t="s">
        <v>192</v>
      </c>
      <c r="Y41" s="43">
        <v>2</v>
      </c>
      <c r="Z41">
        <v>106</v>
      </c>
    </row>
    <row r="42" spans="1:26" x14ac:dyDescent="0.2">
      <c r="A42">
        <v>2024</v>
      </c>
      <c r="B42" s="43" t="s">
        <v>76</v>
      </c>
      <c r="C42" t="s">
        <v>164</v>
      </c>
      <c r="D42" s="9" t="s">
        <v>108</v>
      </c>
      <c r="E42"/>
      <c r="F42" s="9" t="s">
        <v>320</v>
      </c>
      <c r="G42"/>
      <c r="H42"/>
      <c r="I42" s="9" t="s">
        <v>321</v>
      </c>
      <c r="J42" s="55"/>
      <c r="K42" s="55" t="s">
        <v>336</v>
      </c>
      <c r="L42" t="s">
        <v>217</v>
      </c>
      <c r="M42" t="s">
        <v>239</v>
      </c>
      <c r="N42" t="s">
        <v>322</v>
      </c>
      <c r="O42" t="s">
        <v>280</v>
      </c>
      <c r="P42" s="43">
        <v>1</v>
      </c>
      <c r="Q42" s="43">
        <v>1</v>
      </c>
      <c r="R42" s="43">
        <v>1</v>
      </c>
      <c r="S42" s="43">
        <v>1</v>
      </c>
      <c r="T42" s="43">
        <v>0</v>
      </c>
      <c r="U42" s="43">
        <v>0</v>
      </c>
      <c r="V42" s="43">
        <v>0</v>
      </c>
      <c r="W42" t="s">
        <v>192</v>
      </c>
      <c r="Y42" s="43">
        <v>2</v>
      </c>
      <c r="Z42">
        <v>106</v>
      </c>
    </row>
    <row r="43" spans="1:26" x14ac:dyDescent="0.2">
      <c r="A43">
        <v>2024</v>
      </c>
      <c r="B43" s="43" t="s">
        <v>77</v>
      </c>
      <c r="C43" t="s">
        <v>165</v>
      </c>
      <c r="D43" s="9" t="s">
        <v>108</v>
      </c>
      <c r="E43"/>
      <c r="F43" s="9" t="s">
        <v>320</v>
      </c>
      <c r="G43"/>
      <c r="H43"/>
      <c r="I43" s="9" t="s">
        <v>321</v>
      </c>
      <c r="J43"/>
      <c r="K43" t="s">
        <v>335</v>
      </c>
      <c r="L43" t="s">
        <v>219</v>
      </c>
      <c r="M43" t="s">
        <v>219</v>
      </c>
      <c r="N43" t="s">
        <v>322</v>
      </c>
      <c r="O43" t="s">
        <v>305</v>
      </c>
      <c r="P43" s="43">
        <v>1</v>
      </c>
      <c r="Q43" s="43">
        <v>0</v>
      </c>
      <c r="R43" s="43">
        <v>0</v>
      </c>
      <c r="S43" s="43">
        <v>0</v>
      </c>
      <c r="T43" s="43">
        <v>1</v>
      </c>
      <c r="U43" s="43">
        <v>0</v>
      </c>
      <c r="V43" s="43">
        <v>0</v>
      </c>
      <c r="W43" t="s">
        <v>299</v>
      </c>
      <c r="Y43" s="43">
        <v>2</v>
      </c>
      <c r="Z43">
        <v>1516</v>
      </c>
    </row>
    <row r="44" spans="1:26" x14ac:dyDescent="0.2">
      <c r="A44">
        <v>2024</v>
      </c>
      <c r="B44" s="43" t="s">
        <v>78</v>
      </c>
      <c r="C44" t="s">
        <v>165</v>
      </c>
      <c r="D44" s="9" t="s">
        <v>108</v>
      </c>
      <c r="E44"/>
      <c r="F44" s="9" t="s">
        <v>320</v>
      </c>
      <c r="G44"/>
      <c r="H44"/>
      <c r="I44" s="9" t="s">
        <v>321</v>
      </c>
      <c r="J44"/>
      <c r="K44" t="s">
        <v>336</v>
      </c>
      <c r="L44" t="s">
        <v>216</v>
      </c>
      <c r="M44" t="s">
        <v>217</v>
      </c>
      <c r="N44" t="s">
        <v>322</v>
      </c>
      <c r="O44" t="s">
        <v>280</v>
      </c>
      <c r="P44" s="43">
        <v>1</v>
      </c>
      <c r="Q44" s="43">
        <v>1</v>
      </c>
      <c r="R44" s="43">
        <v>1</v>
      </c>
      <c r="S44" s="43">
        <v>1</v>
      </c>
      <c r="T44" s="43">
        <v>0</v>
      </c>
      <c r="U44" s="43">
        <v>0</v>
      </c>
      <c r="V44" s="43">
        <v>0</v>
      </c>
      <c r="W44" t="s">
        <v>192</v>
      </c>
      <c r="Y44" s="43">
        <v>2</v>
      </c>
      <c r="Z44">
        <v>357</v>
      </c>
    </row>
    <row r="45" spans="1:26" x14ac:dyDescent="0.2">
      <c r="A45">
        <v>2024</v>
      </c>
      <c r="B45" s="43" t="s">
        <v>79</v>
      </c>
      <c r="C45" t="s">
        <v>164</v>
      </c>
      <c r="D45" s="9" t="s">
        <v>108</v>
      </c>
      <c r="E45"/>
      <c r="F45" s="9" t="s">
        <v>320</v>
      </c>
      <c r="G45"/>
      <c r="H45"/>
      <c r="I45" s="9" t="s">
        <v>321</v>
      </c>
      <c r="J45"/>
      <c r="K45" t="s">
        <v>336</v>
      </c>
      <c r="L45" t="s">
        <v>219</v>
      </c>
      <c r="M45" t="s">
        <v>239</v>
      </c>
      <c r="N45" t="s">
        <v>322</v>
      </c>
      <c r="O45" t="s">
        <v>280</v>
      </c>
      <c r="P45" s="43">
        <v>1</v>
      </c>
      <c r="Q45" s="43">
        <v>1</v>
      </c>
      <c r="R45" s="43">
        <v>0</v>
      </c>
      <c r="S45" s="43">
        <v>1</v>
      </c>
      <c r="T45" s="43">
        <v>0</v>
      </c>
      <c r="U45" s="43">
        <v>0</v>
      </c>
      <c r="V45" s="43">
        <v>0</v>
      </c>
      <c r="W45" t="s">
        <v>299</v>
      </c>
      <c r="Y45" s="43">
        <v>2</v>
      </c>
      <c r="Z45">
        <v>2056</v>
      </c>
    </row>
    <row r="46" spans="1:26" x14ac:dyDescent="0.2">
      <c r="A46">
        <v>2024</v>
      </c>
      <c r="B46" s="43" t="s">
        <v>80</v>
      </c>
      <c r="C46" t="s">
        <v>164</v>
      </c>
      <c r="D46" s="9" t="s">
        <v>108</v>
      </c>
      <c r="E46"/>
      <c r="F46" s="9" t="s">
        <v>320</v>
      </c>
      <c r="G46"/>
      <c r="H46"/>
      <c r="I46" s="9" t="s">
        <v>321</v>
      </c>
      <c r="J46"/>
      <c r="K46" t="s">
        <v>335</v>
      </c>
      <c r="L46" t="s">
        <v>219</v>
      </c>
      <c r="M46" t="s">
        <v>239</v>
      </c>
      <c r="N46" t="s">
        <v>322</v>
      </c>
      <c r="O46" t="s">
        <v>303</v>
      </c>
      <c r="P46" s="43">
        <v>1</v>
      </c>
      <c r="Q46" s="43">
        <v>0</v>
      </c>
      <c r="R46" s="43">
        <v>0</v>
      </c>
      <c r="S46" s="43">
        <v>1</v>
      </c>
      <c r="T46" s="43">
        <v>0</v>
      </c>
      <c r="U46" s="43">
        <v>0</v>
      </c>
      <c r="V46" s="43">
        <v>0</v>
      </c>
      <c r="W46" t="s">
        <v>299</v>
      </c>
      <c r="Y46" s="43">
        <v>2</v>
      </c>
      <c r="Z46">
        <v>71</v>
      </c>
    </row>
    <row r="47" spans="1:26" x14ac:dyDescent="0.2">
      <c r="J47" s="55"/>
      <c r="K47" s="55"/>
    </row>
    <row r="48" spans="1:26" x14ac:dyDescent="0.2">
      <c r="J48" s="55"/>
      <c r="K48" s="55"/>
    </row>
    <row r="49" spans="1:31" ht="16" x14ac:dyDescent="0.2">
      <c r="A49">
        <v>2025</v>
      </c>
      <c r="B49" s="147">
        <v>27</v>
      </c>
      <c r="C49" t="s">
        <v>164</v>
      </c>
      <c r="D49" s="9" t="s">
        <v>108</v>
      </c>
      <c r="E49"/>
      <c r="F49" s="9" t="s">
        <v>531</v>
      </c>
      <c r="G49"/>
      <c r="H49"/>
      <c r="I49" s="9" t="s">
        <v>323</v>
      </c>
      <c r="J49" s="8"/>
      <c r="K49" s="55" t="s">
        <v>335</v>
      </c>
      <c r="N49" t="s">
        <v>322</v>
      </c>
      <c r="O49" t="s">
        <v>281</v>
      </c>
      <c r="P49" s="63">
        <v>1</v>
      </c>
      <c r="Q49" s="63">
        <v>1</v>
      </c>
      <c r="R49" s="63">
        <v>0</v>
      </c>
      <c r="S49" s="63">
        <v>1</v>
      </c>
      <c r="T49" s="63">
        <v>0</v>
      </c>
      <c r="U49" s="63">
        <v>1</v>
      </c>
      <c r="V49" s="63">
        <v>0</v>
      </c>
      <c r="W49" t="s">
        <v>299</v>
      </c>
      <c r="Y49" s="63">
        <v>2</v>
      </c>
      <c r="Z49">
        <v>194</v>
      </c>
      <c r="AA49" s="80"/>
      <c r="AE49" s="80"/>
    </row>
    <row r="50" spans="1:31" ht="16" x14ac:dyDescent="0.2">
      <c r="A50">
        <v>2025</v>
      </c>
      <c r="B50" s="147">
        <v>28</v>
      </c>
      <c r="C50" t="s">
        <v>164</v>
      </c>
      <c r="D50" s="9" t="s">
        <v>108</v>
      </c>
      <c r="E50"/>
      <c r="F50" s="9" t="s">
        <v>531</v>
      </c>
      <c r="G50"/>
      <c r="H50"/>
      <c r="I50" s="9" t="s">
        <v>323</v>
      </c>
      <c r="J50" s="8"/>
      <c r="K50" s="55" t="s">
        <v>335</v>
      </c>
      <c r="N50" t="s">
        <v>322</v>
      </c>
      <c r="O50" t="s">
        <v>284</v>
      </c>
      <c r="P50" s="63">
        <v>0</v>
      </c>
      <c r="Q50" s="63">
        <v>1</v>
      </c>
      <c r="R50" s="63">
        <v>0</v>
      </c>
      <c r="S50" s="63">
        <v>1</v>
      </c>
      <c r="T50" s="63">
        <v>0</v>
      </c>
      <c r="U50" s="63">
        <v>1</v>
      </c>
      <c r="V50" s="63">
        <v>0</v>
      </c>
      <c r="W50" t="s">
        <v>192</v>
      </c>
      <c r="Y50" s="63">
        <v>2</v>
      </c>
      <c r="Z50">
        <v>75</v>
      </c>
      <c r="AA50" s="80"/>
      <c r="AE50" s="80"/>
    </row>
    <row r="51" spans="1:31" ht="16" x14ac:dyDescent="0.2">
      <c r="A51">
        <v>2025</v>
      </c>
      <c r="B51" s="147">
        <v>29</v>
      </c>
      <c r="C51" t="s">
        <v>165</v>
      </c>
      <c r="D51" s="9" t="s">
        <v>108</v>
      </c>
      <c r="E51"/>
      <c r="F51" s="148" t="s">
        <v>531</v>
      </c>
      <c r="G51"/>
      <c r="H51" t="s">
        <v>331</v>
      </c>
      <c r="I51" s="9" t="s">
        <v>323</v>
      </c>
      <c r="J51" s="8"/>
      <c r="K51" s="55" t="s">
        <v>335</v>
      </c>
      <c r="N51" t="s">
        <v>322</v>
      </c>
      <c r="O51" t="s">
        <v>284</v>
      </c>
      <c r="P51" s="63">
        <v>0</v>
      </c>
      <c r="Q51" s="63">
        <v>0</v>
      </c>
      <c r="R51" s="63">
        <v>0</v>
      </c>
      <c r="S51" s="63">
        <v>1</v>
      </c>
      <c r="T51" s="63">
        <v>0</v>
      </c>
      <c r="U51" s="63">
        <v>0</v>
      </c>
      <c r="V51" s="63">
        <v>0</v>
      </c>
      <c r="W51" t="s">
        <v>299</v>
      </c>
      <c r="Y51" s="63">
        <v>2</v>
      </c>
      <c r="Z51" s="58">
        <v>427</v>
      </c>
      <c r="AA51" s="151"/>
      <c r="AE51" s="80"/>
    </row>
    <row r="52" spans="1:31" ht="16" x14ac:dyDescent="0.2">
      <c r="A52">
        <v>2025</v>
      </c>
      <c r="B52" s="147">
        <v>30</v>
      </c>
      <c r="C52" t="s">
        <v>164</v>
      </c>
      <c r="D52" s="9" t="s">
        <v>108</v>
      </c>
      <c r="E52"/>
      <c r="F52" s="148" t="s">
        <v>531</v>
      </c>
      <c r="G52"/>
      <c r="H52"/>
      <c r="I52" s="9" t="s">
        <v>323</v>
      </c>
      <c r="J52" s="8"/>
      <c r="K52" s="55" t="s">
        <v>335</v>
      </c>
      <c r="N52" t="s">
        <v>322</v>
      </c>
      <c r="O52" t="s">
        <v>532</v>
      </c>
      <c r="P52" s="63">
        <v>1</v>
      </c>
      <c r="Q52" s="63">
        <v>1</v>
      </c>
      <c r="R52" s="63">
        <v>0</v>
      </c>
      <c r="S52" s="63">
        <v>1</v>
      </c>
      <c r="T52" s="63">
        <v>0</v>
      </c>
      <c r="U52" s="63">
        <v>0</v>
      </c>
      <c r="V52" s="63">
        <v>0</v>
      </c>
      <c r="W52" t="s">
        <v>299</v>
      </c>
      <c r="Y52" s="63">
        <v>2</v>
      </c>
      <c r="Z52">
        <v>2069</v>
      </c>
      <c r="AA52" s="80"/>
      <c r="AE52" s="80"/>
    </row>
    <row r="53" spans="1:31" ht="16" x14ac:dyDescent="0.2">
      <c r="A53">
        <v>2025</v>
      </c>
      <c r="B53" s="147">
        <v>44</v>
      </c>
      <c r="C53" t="s">
        <v>164</v>
      </c>
      <c r="D53" s="9" t="s">
        <v>108</v>
      </c>
      <c r="E53"/>
      <c r="F53" s="148" t="s">
        <v>531</v>
      </c>
      <c r="G53"/>
      <c r="H53"/>
      <c r="I53" s="9" t="s">
        <v>323</v>
      </c>
      <c r="J53" s="8"/>
      <c r="K53" s="55" t="s">
        <v>335</v>
      </c>
      <c r="N53" t="s">
        <v>324</v>
      </c>
      <c r="O53" t="s">
        <v>302</v>
      </c>
      <c r="P53" s="63">
        <v>1</v>
      </c>
      <c r="Q53" s="63">
        <v>1</v>
      </c>
      <c r="R53" s="63">
        <v>0</v>
      </c>
      <c r="S53" s="63">
        <v>0</v>
      </c>
      <c r="T53" s="63">
        <v>0</v>
      </c>
      <c r="U53" s="63">
        <v>0</v>
      </c>
      <c r="V53" s="63">
        <v>0</v>
      </c>
      <c r="W53" s="58" t="s">
        <v>192</v>
      </c>
      <c r="Y53" s="63">
        <v>2</v>
      </c>
      <c r="Z53">
        <v>528</v>
      </c>
      <c r="AA53" s="80"/>
      <c r="AE53" s="80"/>
    </row>
    <row r="54" spans="1:31" ht="16" x14ac:dyDescent="0.2">
      <c r="A54">
        <v>2025</v>
      </c>
      <c r="B54" s="147">
        <v>45</v>
      </c>
      <c r="C54" t="s">
        <v>165</v>
      </c>
      <c r="D54" s="9" t="s">
        <v>108</v>
      </c>
      <c r="E54"/>
      <c r="F54" s="9" t="s">
        <v>531</v>
      </c>
      <c r="G54"/>
      <c r="H54" s="9" t="s">
        <v>331</v>
      </c>
      <c r="I54" s="9" t="s">
        <v>323</v>
      </c>
      <c r="J54" s="8"/>
      <c r="K54" s="55" t="s">
        <v>336</v>
      </c>
      <c r="N54" t="s">
        <v>324</v>
      </c>
      <c r="O54" t="s">
        <v>532</v>
      </c>
      <c r="P54" s="63">
        <v>0</v>
      </c>
      <c r="Q54" s="63">
        <v>1</v>
      </c>
      <c r="R54" s="63">
        <v>0</v>
      </c>
      <c r="S54" s="63">
        <v>0</v>
      </c>
      <c r="T54" s="63">
        <v>0</v>
      </c>
      <c r="U54" s="63">
        <v>0</v>
      </c>
      <c r="V54" s="63">
        <v>0</v>
      </c>
      <c r="W54" t="s">
        <v>299</v>
      </c>
      <c r="Y54" s="63">
        <v>2</v>
      </c>
      <c r="Z54">
        <v>984</v>
      </c>
      <c r="AA54" s="80"/>
      <c r="AE54" s="80"/>
    </row>
    <row r="55" spans="1:31" ht="16" x14ac:dyDescent="0.2">
      <c r="A55">
        <v>2025</v>
      </c>
      <c r="B55" s="147">
        <v>46</v>
      </c>
      <c r="C55" t="s">
        <v>165</v>
      </c>
      <c r="D55" s="9" t="s">
        <v>108</v>
      </c>
      <c r="E55"/>
      <c r="F55" s="9" t="s">
        <v>531</v>
      </c>
      <c r="G55"/>
      <c r="H55" s="9"/>
      <c r="I55" s="9" t="s">
        <v>323</v>
      </c>
      <c r="J55" s="8"/>
      <c r="K55" s="55" t="s">
        <v>337</v>
      </c>
      <c r="N55" t="s">
        <v>324</v>
      </c>
      <c r="O55" t="s">
        <v>533</v>
      </c>
      <c r="P55" s="63">
        <v>1</v>
      </c>
      <c r="Q55" s="63">
        <v>0</v>
      </c>
      <c r="R55" s="63">
        <v>1</v>
      </c>
      <c r="S55" s="63">
        <v>0</v>
      </c>
      <c r="T55" s="63">
        <v>0</v>
      </c>
      <c r="U55" s="63">
        <v>1</v>
      </c>
      <c r="V55" s="63">
        <v>0</v>
      </c>
      <c r="W55" t="s">
        <v>299</v>
      </c>
      <c r="Y55" s="63">
        <v>2</v>
      </c>
      <c r="Z55">
        <v>193</v>
      </c>
      <c r="AA55" s="80"/>
      <c r="AE55" s="80"/>
    </row>
    <row r="56" spans="1:31" ht="16" x14ac:dyDescent="0.2">
      <c r="A56">
        <v>2025</v>
      </c>
      <c r="B56" s="147">
        <v>47</v>
      </c>
      <c r="C56" t="s">
        <v>165</v>
      </c>
      <c r="D56" s="9" t="s">
        <v>108</v>
      </c>
      <c r="E56"/>
      <c r="F56" s="148" t="s">
        <v>531</v>
      </c>
      <c r="G56"/>
      <c r="H56" t="s">
        <v>331</v>
      </c>
      <c r="I56" s="9" t="s">
        <v>323</v>
      </c>
      <c r="J56" s="8"/>
      <c r="K56" s="55" t="s">
        <v>336</v>
      </c>
      <c r="N56" t="s">
        <v>324</v>
      </c>
      <c r="O56" t="s">
        <v>534</v>
      </c>
      <c r="P56" s="63">
        <v>1</v>
      </c>
      <c r="Q56" s="63">
        <v>1</v>
      </c>
      <c r="R56" s="63">
        <v>0</v>
      </c>
      <c r="S56" s="63">
        <v>0</v>
      </c>
      <c r="T56" s="63">
        <v>0</v>
      </c>
      <c r="U56" s="63">
        <v>0</v>
      </c>
      <c r="V56" s="63">
        <v>0</v>
      </c>
      <c r="W56" t="s">
        <v>299</v>
      </c>
      <c r="Y56" s="63">
        <v>2</v>
      </c>
      <c r="Z56" s="58">
        <v>1884</v>
      </c>
      <c r="AA56" s="151"/>
      <c r="AE56" s="80"/>
    </row>
    <row r="57" spans="1:31" ht="16" x14ac:dyDescent="0.2">
      <c r="A57">
        <v>2025</v>
      </c>
      <c r="B57" s="147">
        <v>48</v>
      </c>
      <c r="C57" t="s">
        <v>164</v>
      </c>
      <c r="D57" s="9" t="s">
        <v>108</v>
      </c>
      <c r="E57"/>
      <c r="F57" s="148" t="s">
        <v>531</v>
      </c>
      <c r="G57"/>
      <c r="H57"/>
      <c r="I57" s="9" t="s">
        <v>323</v>
      </c>
      <c r="J57" s="154"/>
      <c r="K57" s="55" t="s">
        <v>337</v>
      </c>
      <c r="N57" t="s">
        <v>324</v>
      </c>
      <c r="O57" t="s">
        <v>306</v>
      </c>
      <c r="P57" s="150">
        <v>0</v>
      </c>
      <c r="Q57" s="63">
        <v>1</v>
      </c>
      <c r="R57" s="63">
        <v>0</v>
      </c>
      <c r="S57" s="63">
        <v>0</v>
      </c>
      <c r="T57" s="63">
        <v>0</v>
      </c>
      <c r="U57" s="63">
        <v>0</v>
      </c>
      <c r="V57" s="63">
        <v>0</v>
      </c>
      <c r="W57" t="s">
        <v>299</v>
      </c>
      <c r="Y57" s="63">
        <v>2</v>
      </c>
      <c r="Z57" s="155">
        <v>628</v>
      </c>
      <c r="AA57" s="152" t="s">
        <v>567</v>
      </c>
    </row>
    <row r="58" spans="1:31" ht="16" x14ac:dyDescent="0.2">
      <c r="A58">
        <v>2025</v>
      </c>
      <c r="B58" s="147">
        <v>61</v>
      </c>
      <c r="C58" t="s">
        <v>164</v>
      </c>
      <c r="D58" s="9" t="s">
        <v>108</v>
      </c>
      <c r="E58"/>
      <c r="F58" s="148" t="s">
        <v>531</v>
      </c>
      <c r="G58"/>
      <c r="H58"/>
      <c r="I58" t="s">
        <v>323</v>
      </c>
      <c r="J58" s="8"/>
      <c r="K58" s="55" t="s">
        <v>335</v>
      </c>
      <c r="N58" t="s">
        <v>322</v>
      </c>
      <c r="O58" t="s">
        <v>284</v>
      </c>
      <c r="P58" s="63">
        <v>0</v>
      </c>
      <c r="Q58" s="63">
        <v>0</v>
      </c>
      <c r="R58" s="63">
        <v>0</v>
      </c>
      <c r="S58" s="63">
        <v>1</v>
      </c>
      <c r="T58" s="63">
        <v>0</v>
      </c>
      <c r="U58" s="63">
        <v>0</v>
      </c>
      <c r="V58" s="63">
        <v>0</v>
      </c>
      <c r="W58" t="s">
        <v>299</v>
      </c>
      <c r="Y58" s="63">
        <v>2</v>
      </c>
      <c r="Z58">
        <v>195</v>
      </c>
      <c r="AA58" s="80"/>
      <c r="AE58" s="80"/>
    </row>
    <row r="59" spans="1:31" ht="16" x14ac:dyDescent="0.2">
      <c r="A59">
        <v>2025</v>
      </c>
      <c r="B59" s="147">
        <v>62</v>
      </c>
      <c r="C59" t="s">
        <v>164</v>
      </c>
      <c r="D59" s="9" t="s">
        <v>108</v>
      </c>
      <c r="E59"/>
      <c r="F59" s="9" t="s">
        <v>531</v>
      </c>
      <c r="G59"/>
      <c r="H59"/>
      <c r="I59" t="s">
        <v>323</v>
      </c>
      <c r="J59" s="8"/>
      <c r="K59" s="55" t="s">
        <v>335</v>
      </c>
      <c r="N59" t="s">
        <v>322</v>
      </c>
      <c r="O59" t="s">
        <v>284</v>
      </c>
      <c r="P59" s="63">
        <v>0</v>
      </c>
      <c r="Q59" s="63">
        <v>0</v>
      </c>
      <c r="R59" s="63">
        <v>0</v>
      </c>
      <c r="S59" s="63">
        <v>1</v>
      </c>
      <c r="T59" s="63">
        <v>0</v>
      </c>
      <c r="U59" s="63">
        <v>0</v>
      </c>
      <c r="V59" s="63">
        <v>0</v>
      </c>
      <c r="W59" t="s">
        <v>299</v>
      </c>
      <c r="Y59" s="63">
        <v>2</v>
      </c>
      <c r="Z59">
        <v>1157</v>
      </c>
      <c r="AA59" s="80"/>
      <c r="AE59" s="80"/>
    </row>
    <row r="60" spans="1:31" ht="16" x14ac:dyDescent="0.2">
      <c r="A60">
        <v>2025</v>
      </c>
      <c r="B60" s="147">
        <v>63</v>
      </c>
      <c r="C60" t="s">
        <v>165</v>
      </c>
      <c r="D60" s="9" t="s">
        <v>108</v>
      </c>
      <c r="E60"/>
      <c r="F60" s="9" t="s">
        <v>531</v>
      </c>
      <c r="G60"/>
      <c r="H60"/>
      <c r="I60" t="s">
        <v>323</v>
      </c>
      <c r="J60" s="8"/>
      <c r="K60" s="55" t="s">
        <v>338</v>
      </c>
      <c r="N60" t="s">
        <v>322</v>
      </c>
      <c r="O60" t="s">
        <v>306</v>
      </c>
      <c r="P60" s="63">
        <v>1</v>
      </c>
      <c r="Q60" s="63">
        <v>0</v>
      </c>
      <c r="R60" s="63">
        <v>0</v>
      </c>
      <c r="S60" s="63">
        <v>1</v>
      </c>
      <c r="T60" s="63">
        <v>0</v>
      </c>
      <c r="U60" s="63">
        <v>0</v>
      </c>
      <c r="V60" s="63">
        <v>0</v>
      </c>
      <c r="W60" t="s">
        <v>299</v>
      </c>
      <c r="Y60" s="63">
        <v>2</v>
      </c>
      <c r="Z60">
        <v>45905</v>
      </c>
      <c r="AE60" s="80"/>
    </row>
    <row r="61" spans="1:31" ht="16" x14ac:dyDescent="0.2">
      <c r="A61">
        <v>2025</v>
      </c>
      <c r="B61" s="147">
        <v>71</v>
      </c>
      <c r="C61" t="s">
        <v>164</v>
      </c>
      <c r="D61" s="9" t="s">
        <v>108</v>
      </c>
      <c r="E61"/>
      <c r="F61" s="148" t="s">
        <v>531</v>
      </c>
      <c r="G61"/>
      <c r="H61"/>
      <c r="I61" t="s">
        <v>321</v>
      </c>
      <c r="J61" s="8"/>
      <c r="K61" s="55" t="s">
        <v>335</v>
      </c>
      <c r="N61" t="s">
        <v>324</v>
      </c>
      <c r="O61" t="s">
        <v>280</v>
      </c>
      <c r="P61" s="150">
        <v>0</v>
      </c>
      <c r="Q61" s="63">
        <v>1</v>
      </c>
      <c r="R61" s="63">
        <v>0</v>
      </c>
      <c r="S61" s="63">
        <v>0</v>
      </c>
      <c r="T61" s="63">
        <v>0</v>
      </c>
      <c r="U61" s="63">
        <v>0</v>
      </c>
      <c r="V61" s="63">
        <v>0</v>
      </c>
      <c r="W61" t="s">
        <v>566</v>
      </c>
      <c r="Y61" s="63">
        <v>2</v>
      </c>
      <c r="Z61" s="155">
        <v>983</v>
      </c>
      <c r="AA61" s="152" t="s">
        <v>567</v>
      </c>
    </row>
    <row r="62" spans="1:31" ht="16" x14ac:dyDescent="0.2">
      <c r="A62">
        <v>2025</v>
      </c>
      <c r="B62" s="147">
        <v>72</v>
      </c>
      <c r="C62" t="s">
        <v>165</v>
      </c>
      <c r="D62" s="9" t="s">
        <v>108</v>
      </c>
      <c r="E62"/>
      <c r="F62" s="148" t="s">
        <v>531</v>
      </c>
      <c r="G62"/>
      <c r="H62" t="s">
        <v>331</v>
      </c>
      <c r="I62" t="s">
        <v>321</v>
      </c>
      <c r="J62" s="8"/>
      <c r="K62" s="55" t="s">
        <v>336</v>
      </c>
      <c r="N62" t="s">
        <v>324</v>
      </c>
      <c r="O62" t="s">
        <v>280</v>
      </c>
      <c r="P62" s="63">
        <v>1</v>
      </c>
      <c r="Q62" s="63">
        <v>1</v>
      </c>
      <c r="R62" s="63">
        <v>0</v>
      </c>
      <c r="S62" s="63">
        <v>0</v>
      </c>
      <c r="T62" s="63">
        <v>0</v>
      </c>
      <c r="U62" s="63">
        <v>0</v>
      </c>
      <c r="V62" s="63">
        <v>0</v>
      </c>
      <c r="W62" t="s">
        <v>299</v>
      </c>
      <c r="Y62" s="63">
        <v>2</v>
      </c>
      <c r="Z62">
        <v>2156</v>
      </c>
      <c r="AA62" s="80"/>
      <c r="AE62" s="80"/>
    </row>
    <row r="63" spans="1:31" ht="16" x14ac:dyDescent="0.2">
      <c r="A63">
        <v>2025</v>
      </c>
      <c r="B63" s="147">
        <v>73</v>
      </c>
      <c r="C63" t="s">
        <v>165</v>
      </c>
      <c r="D63" s="9" t="s">
        <v>108</v>
      </c>
      <c r="E63"/>
      <c r="F63" s="148" t="s">
        <v>531</v>
      </c>
      <c r="G63"/>
      <c r="H63"/>
      <c r="I63" t="s">
        <v>321</v>
      </c>
      <c r="J63" s="8"/>
      <c r="K63" s="55" t="s">
        <v>336</v>
      </c>
      <c r="N63" t="s">
        <v>324</v>
      </c>
      <c r="O63" t="s">
        <v>306</v>
      </c>
      <c r="P63" s="63">
        <v>1</v>
      </c>
      <c r="Q63" s="63">
        <v>1</v>
      </c>
      <c r="R63" s="63">
        <v>0</v>
      </c>
      <c r="S63" s="63">
        <v>1</v>
      </c>
      <c r="T63" s="63">
        <v>0</v>
      </c>
      <c r="U63" s="63">
        <v>0</v>
      </c>
      <c r="V63" s="63">
        <v>0</v>
      </c>
      <c r="W63" t="s">
        <v>299</v>
      </c>
      <c r="Y63" s="63">
        <v>2</v>
      </c>
      <c r="Z63">
        <v>81</v>
      </c>
      <c r="AA63" s="80"/>
      <c r="AE63" s="80"/>
    </row>
    <row r="64" spans="1:31" ht="16" x14ac:dyDescent="0.2">
      <c r="A64">
        <v>2025</v>
      </c>
      <c r="B64" s="147">
        <v>74</v>
      </c>
      <c r="C64" t="s">
        <v>164</v>
      </c>
      <c r="D64" s="9" t="s">
        <v>108</v>
      </c>
      <c r="E64"/>
      <c r="F64" s="9" t="s">
        <v>531</v>
      </c>
      <c r="G64"/>
      <c r="H64"/>
      <c r="I64" t="s">
        <v>321</v>
      </c>
      <c r="J64" s="8"/>
      <c r="K64" s="55" t="s">
        <v>336</v>
      </c>
      <c r="N64" t="s">
        <v>324</v>
      </c>
      <c r="O64" t="s">
        <v>280</v>
      </c>
      <c r="P64" s="63">
        <v>1</v>
      </c>
      <c r="Q64" s="63">
        <v>1</v>
      </c>
      <c r="R64" s="63">
        <v>0</v>
      </c>
      <c r="S64" s="63">
        <v>1</v>
      </c>
      <c r="T64" s="63">
        <v>0</v>
      </c>
      <c r="U64" s="63">
        <v>0</v>
      </c>
      <c r="V64" s="63">
        <v>0</v>
      </c>
      <c r="W64" t="s">
        <v>192</v>
      </c>
      <c r="Y64" s="63">
        <v>2</v>
      </c>
      <c r="Z64">
        <v>54</v>
      </c>
      <c r="AA64" s="80"/>
      <c r="AE64" s="80"/>
    </row>
    <row r="65" spans="1:31" ht="16" x14ac:dyDescent="0.2">
      <c r="A65">
        <v>2025</v>
      </c>
      <c r="B65" s="147">
        <v>75</v>
      </c>
      <c r="C65" t="s">
        <v>164</v>
      </c>
      <c r="D65" s="9" t="s">
        <v>108</v>
      </c>
      <c r="E65"/>
      <c r="F65" s="9" t="s">
        <v>531</v>
      </c>
      <c r="G65"/>
      <c r="H65"/>
      <c r="I65" t="s">
        <v>321</v>
      </c>
      <c r="J65" s="8"/>
      <c r="K65" s="55" t="s">
        <v>335</v>
      </c>
      <c r="N65" t="s">
        <v>324</v>
      </c>
      <c r="O65" t="s">
        <v>306</v>
      </c>
      <c r="P65" s="63">
        <v>1</v>
      </c>
      <c r="Q65" s="63">
        <v>1</v>
      </c>
      <c r="R65" s="63">
        <v>0</v>
      </c>
      <c r="S65" s="63">
        <v>1</v>
      </c>
      <c r="T65" s="63">
        <v>0</v>
      </c>
      <c r="U65" s="63">
        <v>0</v>
      </c>
      <c r="V65" s="63">
        <v>0</v>
      </c>
      <c r="W65" t="s">
        <v>192</v>
      </c>
      <c r="Y65" s="63">
        <v>2</v>
      </c>
      <c r="Z65" s="58">
        <v>1153</v>
      </c>
      <c r="AA65" s="151"/>
      <c r="AE65" s="80"/>
    </row>
    <row r="66" spans="1:31" ht="16" x14ac:dyDescent="0.2">
      <c r="A66">
        <v>2025</v>
      </c>
      <c r="B66" s="147">
        <v>76</v>
      </c>
      <c r="C66" t="s">
        <v>164</v>
      </c>
      <c r="D66" s="9" t="s">
        <v>108</v>
      </c>
      <c r="E66"/>
      <c r="F66" s="148" t="s">
        <v>531</v>
      </c>
      <c r="G66"/>
      <c r="H66"/>
      <c r="I66" t="s">
        <v>321</v>
      </c>
      <c r="J66" s="8"/>
      <c r="K66" s="55" t="s">
        <v>335</v>
      </c>
      <c r="N66" t="s">
        <v>324</v>
      </c>
      <c r="O66" t="s">
        <v>280</v>
      </c>
      <c r="P66" s="150" t="s">
        <v>538</v>
      </c>
      <c r="Q66" s="63"/>
      <c r="R66" s="63"/>
      <c r="S66" s="63"/>
      <c r="T66" s="63"/>
      <c r="U66" s="63"/>
      <c r="V66" s="63"/>
      <c r="Y66" s="63"/>
    </row>
    <row r="67" spans="1:31" ht="16" x14ac:dyDescent="0.2">
      <c r="A67">
        <v>2025</v>
      </c>
      <c r="B67" s="147">
        <v>77</v>
      </c>
      <c r="C67" t="s">
        <v>165</v>
      </c>
      <c r="D67" s="9" t="s">
        <v>108</v>
      </c>
      <c r="E67"/>
      <c r="F67" s="148" t="s">
        <v>531</v>
      </c>
      <c r="G67"/>
      <c r="H67"/>
      <c r="I67" t="s">
        <v>321</v>
      </c>
      <c r="J67" s="8"/>
      <c r="K67" s="55" t="s">
        <v>335</v>
      </c>
      <c r="N67" t="s">
        <v>324</v>
      </c>
      <c r="O67" t="s">
        <v>281</v>
      </c>
      <c r="P67" s="63">
        <v>0</v>
      </c>
      <c r="Q67" s="63">
        <v>0</v>
      </c>
      <c r="R67" s="63">
        <v>1</v>
      </c>
      <c r="S67" s="63">
        <v>0</v>
      </c>
      <c r="T67" s="63">
        <v>0</v>
      </c>
      <c r="U67" s="63">
        <v>0</v>
      </c>
      <c r="V67" s="63">
        <v>0</v>
      </c>
      <c r="W67" t="s">
        <v>299</v>
      </c>
      <c r="Y67" s="63">
        <v>2</v>
      </c>
      <c r="Z67">
        <v>45901</v>
      </c>
      <c r="AE67" s="80"/>
    </row>
    <row r="68" spans="1:31" ht="16" x14ac:dyDescent="0.2">
      <c r="A68">
        <v>2025</v>
      </c>
      <c r="B68" s="147">
        <v>78</v>
      </c>
      <c r="C68" t="s">
        <v>164</v>
      </c>
      <c r="D68" s="9" t="s">
        <v>108</v>
      </c>
      <c r="E68"/>
      <c r="F68" s="148" t="s">
        <v>531</v>
      </c>
      <c r="G68"/>
      <c r="H68"/>
      <c r="I68" t="s">
        <v>321</v>
      </c>
      <c r="J68" s="154"/>
      <c r="K68" s="55" t="s">
        <v>336</v>
      </c>
      <c r="N68" t="s">
        <v>324</v>
      </c>
      <c r="O68" t="s">
        <v>280</v>
      </c>
      <c r="P68" s="63">
        <v>0</v>
      </c>
      <c r="Q68" s="63">
        <v>1</v>
      </c>
      <c r="R68" s="63">
        <v>0</v>
      </c>
      <c r="S68" s="63">
        <v>0</v>
      </c>
      <c r="T68" s="63">
        <v>0</v>
      </c>
      <c r="U68" s="63">
        <v>0</v>
      </c>
      <c r="V68" s="63">
        <v>0</v>
      </c>
      <c r="W68" t="s">
        <v>192</v>
      </c>
      <c r="Y68" s="63">
        <v>2</v>
      </c>
      <c r="Z68">
        <v>1556</v>
      </c>
      <c r="AA68" s="80"/>
      <c r="AE68" s="80"/>
    </row>
    <row r="69" spans="1:31" ht="16" x14ac:dyDescent="0.2">
      <c r="A69">
        <v>2025</v>
      </c>
      <c r="B69" s="147">
        <v>79</v>
      </c>
      <c r="C69" t="s">
        <v>164</v>
      </c>
      <c r="D69" s="9" t="s">
        <v>108</v>
      </c>
      <c r="E69"/>
      <c r="F69" s="9" t="s">
        <v>531</v>
      </c>
      <c r="G69"/>
      <c r="H69"/>
      <c r="I69" t="s">
        <v>321</v>
      </c>
      <c r="J69" s="8"/>
      <c r="K69" s="55" t="s">
        <v>336</v>
      </c>
      <c r="N69" t="s">
        <v>324</v>
      </c>
      <c r="O69" s="55" t="s">
        <v>536</v>
      </c>
      <c r="P69" s="63">
        <v>1</v>
      </c>
      <c r="Q69" s="63">
        <v>0</v>
      </c>
      <c r="R69" s="63">
        <v>0</v>
      </c>
      <c r="S69" s="63">
        <v>1</v>
      </c>
      <c r="T69" s="63">
        <v>0</v>
      </c>
      <c r="U69" s="63">
        <v>0</v>
      </c>
      <c r="V69" s="63">
        <v>0</v>
      </c>
      <c r="W69" s="58" t="s">
        <v>192</v>
      </c>
      <c r="Y69" s="63">
        <v>2</v>
      </c>
      <c r="Z69">
        <v>749</v>
      </c>
      <c r="AA69" s="80"/>
      <c r="AE69" s="80"/>
    </row>
    <row r="70" spans="1:31" ht="16" x14ac:dyDescent="0.2">
      <c r="A70">
        <v>2025</v>
      </c>
      <c r="B70" s="147">
        <v>80</v>
      </c>
      <c r="C70" t="s">
        <v>165</v>
      </c>
      <c r="D70" s="9" t="s">
        <v>108</v>
      </c>
      <c r="E70"/>
      <c r="F70" s="9" t="s">
        <v>531</v>
      </c>
      <c r="G70"/>
      <c r="H70" s="9" t="s">
        <v>331</v>
      </c>
      <c r="I70" t="s">
        <v>321</v>
      </c>
      <c r="J70" s="8"/>
      <c r="K70" s="55" t="s">
        <v>336</v>
      </c>
      <c r="N70" t="s">
        <v>324</v>
      </c>
      <c r="O70" t="s">
        <v>280</v>
      </c>
      <c r="P70" s="63">
        <v>1</v>
      </c>
      <c r="Q70" s="63">
        <v>1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55" t="s">
        <v>192</v>
      </c>
      <c r="Y70" s="63">
        <v>2</v>
      </c>
      <c r="Z70">
        <v>1542</v>
      </c>
      <c r="AA70" s="80"/>
      <c r="AE70" s="80"/>
    </row>
    <row r="71" spans="1:31" ht="16" x14ac:dyDescent="0.2">
      <c r="A71">
        <v>2025</v>
      </c>
      <c r="B71" s="147">
        <v>96</v>
      </c>
      <c r="C71" t="s">
        <v>164</v>
      </c>
      <c r="D71" s="9" t="s">
        <v>108</v>
      </c>
      <c r="E71"/>
      <c r="F71" s="148" t="s">
        <v>531</v>
      </c>
      <c r="G71"/>
      <c r="H71"/>
      <c r="I71" t="s">
        <v>321</v>
      </c>
      <c r="J71" s="8"/>
      <c r="K71" s="55" t="s">
        <v>335</v>
      </c>
      <c r="N71" t="s">
        <v>322</v>
      </c>
      <c r="O71" t="s">
        <v>280</v>
      </c>
      <c r="P71" s="63">
        <v>0</v>
      </c>
      <c r="Q71" s="63">
        <v>1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55" t="s">
        <v>192</v>
      </c>
      <c r="Y71" s="63">
        <v>2</v>
      </c>
      <c r="Z71">
        <v>1533</v>
      </c>
      <c r="AA71" s="80"/>
      <c r="AE71" s="80"/>
    </row>
    <row r="72" spans="1:31" ht="16" x14ac:dyDescent="0.2">
      <c r="A72">
        <v>2025</v>
      </c>
      <c r="B72" s="147">
        <v>97</v>
      </c>
      <c r="C72" t="s">
        <v>164</v>
      </c>
      <c r="D72" s="9" t="s">
        <v>108</v>
      </c>
      <c r="E72"/>
      <c r="F72" s="148" t="s">
        <v>531</v>
      </c>
      <c r="G72"/>
      <c r="H72"/>
      <c r="I72" t="s">
        <v>321</v>
      </c>
      <c r="J72" s="8"/>
      <c r="K72" s="55" t="s">
        <v>336</v>
      </c>
      <c r="N72" t="s">
        <v>322</v>
      </c>
      <c r="O72" s="149" t="s">
        <v>280</v>
      </c>
      <c r="P72" s="63">
        <v>0</v>
      </c>
      <c r="Q72" s="63">
        <v>0</v>
      </c>
      <c r="R72" s="63">
        <v>0</v>
      </c>
      <c r="S72" s="63">
        <v>1</v>
      </c>
      <c r="T72" s="63">
        <v>0</v>
      </c>
      <c r="U72" s="63">
        <v>0</v>
      </c>
      <c r="V72" s="63">
        <v>0</v>
      </c>
      <c r="W72" s="55" t="s">
        <v>192</v>
      </c>
      <c r="Y72" s="63">
        <v>2</v>
      </c>
      <c r="Z72">
        <v>456</v>
      </c>
      <c r="AA72" s="80"/>
      <c r="AE72" s="80"/>
    </row>
    <row r="73" spans="1:31" ht="16" x14ac:dyDescent="0.2">
      <c r="A73">
        <v>2025</v>
      </c>
      <c r="B73" s="147">
        <v>98</v>
      </c>
      <c r="C73" t="s">
        <v>165</v>
      </c>
      <c r="D73" s="9" t="s">
        <v>108</v>
      </c>
      <c r="E73"/>
      <c r="F73" s="148" t="s">
        <v>531</v>
      </c>
      <c r="G73"/>
      <c r="H73" t="s">
        <v>331</v>
      </c>
      <c r="I73" t="s">
        <v>321</v>
      </c>
      <c r="J73" s="8"/>
      <c r="K73" s="55" t="s">
        <v>336</v>
      </c>
      <c r="N73" t="s">
        <v>322</v>
      </c>
      <c r="O73" t="s">
        <v>537</v>
      </c>
      <c r="P73" s="150" t="s">
        <v>538</v>
      </c>
      <c r="Q73" s="63"/>
      <c r="R73" s="63"/>
      <c r="S73" s="63"/>
      <c r="T73" s="63"/>
      <c r="U73" s="63"/>
      <c r="V73" s="63"/>
      <c r="Y73" s="63"/>
    </row>
    <row r="74" spans="1:31" ht="16" x14ac:dyDescent="0.2">
      <c r="A74">
        <v>2025</v>
      </c>
      <c r="B74" s="147">
        <v>99</v>
      </c>
      <c r="C74" t="s">
        <v>165</v>
      </c>
      <c r="D74" s="9" t="s">
        <v>108</v>
      </c>
      <c r="E74"/>
      <c r="F74" s="148" t="s">
        <v>531</v>
      </c>
      <c r="G74"/>
      <c r="H74" t="s">
        <v>331</v>
      </c>
      <c r="I74" t="s">
        <v>321</v>
      </c>
      <c r="J74" s="8"/>
      <c r="K74" t="s">
        <v>335</v>
      </c>
      <c r="N74" t="s">
        <v>322</v>
      </c>
      <c r="O74" t="s">
        <v>280</v>
      </c>
      <c r="P74" s="63">
        <v>1</v>
      </c>
      <c r="Q74" s="63">
        <v>0</v>
      </c>
      <c r="R74" s="63">
        <v>0</v>
      </c>
      <c r="S74" s="63">
        <v>0</v>
      </c>
      <c r="T74" s="63">
        <v>0</v>
      </c>
      <c r="U74" s="63">
        <v>0</v>
      </c>
      <c r="V74" s="63">
        <v>0</v>
      </c>
      <c r="W74" t="s">
        <v>299</v>
      </c>
      <c r="Y74" s="63">
        <v>2</v>
      </c>
      <c r="Z74">
        <v>348</v>
      </c>
      <c r="AA74" s="80"/>
      <c r="AE74" s="80"/>
    </row>
    <row r="75" spans="1:31" x14ac:dyDescent="0.2">
      <c r="P75" s="63"/>
      <c r="Q75" s="63"/>
      <c r="R75" s="63"/>
      <c r="S75" s="63"/>
      <c r="T75" s="63"/>
      <c r="U75" s="63"/>
      <c r="V75" s="63"/>
    </row>
  </sheetData>
  <sortState xmlns:xlrd2="http://schemas.microsoft.com/office/spreadsheetml/2017/richdata2" ref="B3:Y46">
    <sortCondition ref="B3:B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9C58-DEA5-4E3F-8474-EC2E1FA00A8B}">
  <dimension ref="A1:L157"/>
  <sheetViews>
    <sheetView topLeftCell="A131" workbookViewId="0">
      <selection activeCell="B37" sqref="B37"/>
    </sheetView>
  </sheetViews>
  <sheetFormatPr baseColWidth="10" defaultRowHeight="15" x14ac:dyDescent="0.2"/>
  <cols>
    <col min="2" max="4" width="10.83203125" style="43"/>
    <col min="5" max="6" width="10.83203125" style="54"/>
    <col min="7" max="10" width="10.83203125" style="43"/>
  </cols>
  <sheetData>
    <row r="1" spans="1:12" x14ac:dyDescent="0.2">
      <c r="E1" s="62" t="s">
        <v>329</v>
      </c>
      <c r="F1" s="62" t="s">
        <v>329</v>
      </c>
    </row>
    <row r="2" spans="1:12" x14ac:dyDescent="0.2">
      <c r="A2" t="s">
        <v>497</v>
      </c>
      <c r="B2" s="43" t="s">
        <v>82</v>
      </c>
      <c r="C2" s="43" t="s">
        <v>0</v>
      </c>
      <c r="D2" s="43" t="s">
        <v>81</v>
      </c>
      <c r="E2" s="54" t="s">
        <v>311</v>
      </c>
      <c r="F2" s="54" t="s">
        <v>312</v>
      </c>
      <c r="G2" s="60" t="s">
        <v>325</v>
      </c>
      <c r="H2" s="60" t="s">
        <v>326</v>
      </c>
      <c r="I2" s="60" t="s">
        <v>327</v>
      </c>
      <c r="J2" s="60" t="s">
        <v>328</v>
      </c>
      <c r="K2" s="58" t="s">
        <v>330</v>
      </c>
      <c r="L2" s="48" t="s">
        <v>344</v>
      </c>
    </row>
    <row r="3" spans="1:12" x14ac:dyDescent="0.2">
      <c r="A3">
        <v>2024</v>
      </c>
      <c r="B3" s="17" t="s">
        <v>20</v>
      </c>
      <c r="C3" s="17"/>
      <c r="D3" s="17" t="s">
        <v>100</v>
      </c>
      <c r="E3">
        <v>80.3</v>
      </c>
      <c r="F3">
        <v>170.5</v>
      </c>
      <c r="G3">
        <f>E3/((F3/100)*(F3/100))</f>
        <v>27.622741462491717</v>
      </c>
      <c r="H3" s="72">
        <v>87</v>
      </c>
      <c r="I3" s="72">
        <v>138</v>
      </c>
      <c r="J3" s="72">
        <v>91</v>
      </c>
      <c r="K3" s="58" t="s">
        <v>331</v>
      </c>
    </row>
    <row r="4" spans="1:12" x14ac:dyDescent="0.2">
      <c r="A4">
        <v>2024</v>
      </c>
      <c r="B4" s="17" t="s">
        <v>23</v>
      </c>
      <c r="C4" s="17"/>
      <c r="D4" s="17" t="s">
        <v>100</v>
      </c>
      <c r="E4" s="55">
        <v>72.5</v>
      </c>
      <c r="F4" s="61">
        <v>160</v>
      </c>
      <c r="G4">
        <f t="shared" ref="G4:G47" si="0">E4/((F4/100)*(F4/100))</f>
        <v>28.320312499999993</v>
      </c>
      <c r="H4" s="72">
        <v>89</v>
      </c>
      <c r="I4" s="72">
        <v>142</v>
      </c>
      <c r="J4" s="72">
        <v>82</v>
      </c>
      <c r="K4" s="58"/>
    </row>
    <row r="5" spans="1:12" x14ac:dyDescent="0.2">
      <c r="A5">
        <v>2024</v>
      </c>
      <c r="B5" s="17" t="s">
        <v>26</v>
      </c>
      <c r="C5" s="17"/>
      <c r="D5" s="17" t="s">
        <v>100</v>
      </c>
      <c r="E5" s="55">
        <v>55.5</v>
      </c>
      <c r="F5" s="55">
        <v>160</v>
      </c>
      <c r="G5">
        <f t="shared" si="0"/>
        <v>21.679687499999996</v>
      </c>
      <c r="H5" s="72">
        <v>80</v>
      </c>
      <c r="I5" s="72">
        <v>129</v>
      </c>
      <c r="J5" s="72">
        <v>63</v>
      </c>
      <c r="K5" s="58"/>
    </row>
    <row r="6" spans="1:12" x14ac:dyDescent="0.2">
      <c r="A6">
        <v>2024</v>
      </c>
      <c r="B6" s="17" t="s">
        <v>27</v>
      </c>
      <c r="C6" s="17"/>
      <c r="D6" s="17" t="s">
        <v>100</v>
      </c>
      <c r="E6" s="55">
        <v>75</v>
      </c>
      <c r="F6" s="55">
        <v>175</v>
      </c>
      <c r="G6">
        <f t="shared" si="0"/>
        <v>24.489795918367346</v>
      </c>
      <c r="H6" s="72">
        <v>79</v>
      </c>
      <c r="I6" s="72">
        <v>126</v>
      </c>
      <c r="J6" s="72">
        <v>84</v>
      </c>
      <c r="K6" s="58"/>
    </row>
    <row r="7" spans="1:12" x14ac:dyDescent="0.2">
      <c r="A7">
        <v>2024</v>
      </c>
      <c r="B7" s="43" t="s">
        <v>29</v>
      </c>
      <c r="D7" s="17" t="s">
        <v>100</v>
      </c>
      <c r="E7">
        <v>65.8</v>
      </c>
      <c r="F7">
        <v>165.6</v>
      </c>
      <c r="G7">
        <f t="shared" si="0"/>
        <v>23.994142220355201</v>
      </c>
      <c r="H7" s="72">
        <v>80</v>
      </c>
      <c r="I7" s="72">
        <v>145</v>
      </c>
      <c r="J7" s="72">
        <v>95</v>
      </c>
      <c r="K7" s="58" t="s">
        <v>331</v>
      </c>
    </row>
    <row r="8" spans="1:12" x14ac:dyDescent="0.2">
      <c r="A8">
        <v>2024</v>
      </c>
      <c r="B8" s="43" t="s">
        <v>30</v>
      </c>
      <c r="D8" s="17" t="s">
        <v>100</v>
      </c>
      <c r="E8" s="55">
        <v>82.8</v>
      </c>
      <c r="F8" s="55">
        <v>174.6</v>
      </c>
      <c r="G8">
        <f t="shared" si="0"/>
        <v>27.160756249926195</v>
      </c>
      <c r="H8" s="72">
        <v>90.6</v>
      </c>
      <c r="I8" s="72">
        <v>156</v>
      </c>
      <c r="J8" s="72">
        <v>96</v>
      </c>
      <c r="K8" s="58"/>
    </row>
    <row r="9" spans="1:12" x14ac:dyDescent="0.2">
      <c r="A9">
        <v>2024</v>
      </c>
      <c r="B9" s="43" t="s">
        <v>34</v>
      </c>
      <c r="D9" s="17" t="s">
        <v>100</v>
      </c>
      <c r="E9" s="55">
        <v>104.5</v>
      </c>
      <c r="F9" s="55">
        <v>160.6</v>
      </c>
      <c r="G9">
        <f t="shared" si="0"/>
        <v>40.515873692829977</v>
      </c>
      <c r="H9" s="72">
        <v>112</v>
      </c>
      <c r="I9" s="72">
        <v>142</v>
      </c>
      <c r="J9" s="72">
        <v>90</v>
      </c>
      <c r="K9" s="58"/>
    </row>
    <row r="10" spans="1:12" x14ac:dyDescent="0.2">
      <c r="A10">
        <v>2024</v>
      </c>
      <c r="B10" s="54" t="s">
        <v>36</v>
      </c>
      <c r="C10" s="54"/>
      <c r="D10" s="17" t="s">
        <v>100</v>
      </c>
      <c r="E10" s="55">
        <v>89.5</v>
      </c>
      <c r="F10" s="55">
        <v>171.8</v>
      </c>
      <c r="G10">
        <f t="shared" si="0"/>
        <v>30.323317716542363</v>
      </c>
      <c r="H10" s="72">
        <v>103</v>
      </c>
      <c r="I10" s="72">
        <v>119</v>
      </c>
      <c r="J10" s="72">
        <v>77</v>
      </c>
      <c r="K10" s="58"/>
    </row>
    <row r="11" spans="1:12" x14ac:dyDescent="0.2">
      <c r="A11">
        <v>2024</v>
      </c>
      <c r="B11" s="43" t="s">
        <v>37</v>
      </c>
      <c r="D11" s="17" t="s">
        <v>100</v>
      </c>
      <c r="E11" s="55">
        <v>51.5</v>
      </c>
      <c r="F11" s="55">
        <v>167.4</v>
      </c>
      <c r="G11">
        <f t="shared" si="0"/>
        <v>18.377918520516893</v>
      </c>
      <c r="H11" s="72">
        <v>60.6</v>
      </c>
      <c r="I11" s="72">
        <v>89</v>
      </c>
      <c r="J11" s="72">
        <v>63</v>
      </c>
      <c r="K11" s="58"/>
    </row>
    <row r="12" spans="1:12" x14ac:dyDescent="0.2">
      <c r="A12">
        <v>2024</v>
      </c>
      <c r="B12" s="43" t="s">
        <v>38</v>
      </c>
      <c r="D12" s="17" t="s">
        <v>100</v>
      </c>
      <c r="E12" s="55">
        <v>86.5</v>
      </c>
      <c r="F12" s="55">
        <v>162.5</v>
      </c>
      <c r="G12">
        <f t="shared" si="0"/>
        <v>32.757396449704139</v>
      </c>
      <c r="H12" s="72">
        <v>96</v>
      </c>
      <c r="I12" s="72">
        <v>116</v>
      </c>
      <c r="J12" s="72">
        <v>73</v>
      </c>
      <c r="K12" s="58"/>
    </row>
    <row r="13" spans="1:12" x14ac:dyDescent="0.2">
      <c r="A13">
        <v>2024</v>
      </c>
      <c r="B13" s="17" t="s">
        <v>39</v>
      </c>
      <c r="C13" s="17"/>
      <c r="D13" s="17" t="s">
        <v>100</v>
      </c>
      <c r="E13" s="55">
        <v>83.8</v>
      </c>
      <c r="F13" s="55">
        <v>172.5</v>
      </c>
      <c r="G13">
        <f t="shared" si="0"/>
        <v>28.162150808653639</v>
      </c>
      <c r="H13" s="72">
        <v>107</v>
      </c>
      <c r="I13" s="72">
        <v>135</v>
      </c>
      <c r="J13" s="72">
        <v>69</v>
      </c>
      <c r="K13" s="58"/>
    </row>
    <row r="14" spans="1:12" x14ac:dyDescent="0.2">
      <c r="A14">
        <v>2024</v>
      </c>
      <c r="B14" s="17" t="s">
        <v>43</v>
      </c>
      <c r="C14" s="17"/>
      <c r="D14" s="17" t="s">
        <v>100</v>
      </c>
      <c r="E14" s="55">
        <v>78.900000000000006</v>
      </c>
      <c r="F14" s="55">
        <v>178.5</v>
      </c>
      <c r="G14">
        <f t="shared" si="0"/>
        <v>24.76284631499659</v>
      </c>
      <c r="H14" s="72">
        <v>93</v>
      </c>
      <c r="I14" s="72">
        <v>114</v>
      </c>
      <c r="J14" s="72">
        <v>66</v>
      </c>
      <c r="K14" s="58"/>
    </row>
    <row r="15" spans="1:12" x14ac:dyDescent="0.2">
      <c r="A15">
        <v>2024</v>
      </c>
      <c r="B15" s="43" t="s">
        <v>44</v>
      </c>
      <c r="D15" s="17" t="s">
        <v>100</v>
      </c>
      <c r="E15" s="55">
        <v>84.8</v>
      </c>
      <c r="F15" s="55">
        <v>179.3</v>
      </c>
      <c r="G15">
        <f t="shared" si="0"/>
        <v>26.377599694417992</v>
      </c>
      <c r="H15" s="72">
        <v>97</v>
      </c>
      <c r="I15" s="72">
        <v>128</v>
      </c>
      <c r="J15" s="72">
        <v>80</v>
      </c>
      <c r="K15" s="58"/>
    </row>
    <row r="16" spans="1:12" x14ac:dyDescent="0.2">
      <c r="A16">
        <v>2024</v>
      </c>
      <c r="B16" s="43" t="s">
        <v>45</v>
      </c>
      <c r="D16" s="17" t="s">
        <v>100</v>
      </c>
      <c r="E16" s="55">
        <v>91.6</v>
      </c>
      <c r="F16" s="55">
        <v>171.4</v>
      </c>
      <c r="G16">
        <f t="shared" si="0"/>
        <v>31.179836857290294</v>
      </c>
      <c r="H16" s="72">
        <v>115</v>
      </c>
      <c r="I16" s="72">
        <v>133</v>
      </c>
      <c r="J16" s="72">
        <v>83</v>
      </c>
      <c r="K16" s="58"/>
    </row>
    <row r="17" spans="1:11" x14ac:dyDescent="0.2">
      <c r="A17">
        <v>2024</v>
      </c>
      <c r="B17" s="43" t="s">
        <v>46</v>
      </c>
      <c r="D17" s="17" t="s">
        <v>100</v>
      </c>
      <c r="E17" s="55">
        <v>95</v>
      </c>
      <c r="F17" s="55">
        <v>186.2</v>
      </c>
      <c r="G17">
        <f t="shared" si="0"/>
        <v>27.400863675223047</v>
      </c>
      <c r="H17" s="72">
        <v>100</v>
      </c>
      <c r="I17" s="72">
        <v>140</v>
      </c>
      <c r="J17" s="72">
        <v>93</v>
      </c>
      <c r="K17" s="58"/>
    </row>
    <row r="18" spans="1:11" x14ac:dyDescent="0.2">
      <c r="A18">
        <v>2024</v>
      </c>
      <c r="B18" s="43" t="s">
        <v>47</v>
      </c>
      <c r="D18" s="17" t="s">
        <v>100</v>
      </c>
      <c r="E18">
        <v>77.599999999999994</v>
      </c>
      <c r="F18">
        <v>178.9</v>
      </c>
      <c r="G18">
        <f t="shared" si="0"/>
        <v>24.246052439587174</v>
      </c>
      <c r="H18" s="72">
        <v>99</v>
      </c>
      <c r="I18" s="72">
        <v>128</v>
      </c>
      <c r="J18" s="72">
        <v>79</v>
      </c>
      <c r="K18" s="58"/>
    </row>
    <row r="19" spans="1:11" x14ac:dyDescent="0.2">
      <c r="A19">
        <v>2024</v>
      </c>
      <c r="B19" s="17" t="s">
        <v>48</v>
      </c>
      <c r="C19" s="17"/>
      <c r="D19" s="17" t="s">
        <v>100</v>
      </c>
      <c r="E19" s="55">
        <v>73</v>
      </c>
      <c r="F19" s="55">
        <v>167.1</v>
      </c>
      <c r="G19">
        <f t="shared" si="0"/>
        <v>26.143875116796863</v>
      </c>
      <c r="H19" s="72">
        <v>91</v>
      </c>
      <c r="I19" s="72">
        <v>129</v>
      </c>
      <c r="J19" s="72">
        <v>87</v>
      </c>
      <c r="K19" s="58" t="s">
        <v>331</v>
      </c>
    </row>
    <row r="20" spans="1:11" x14ac:dyDescent="0.2">
      <c r="A20">
        <v>2024</v>
      </c>
      <c r="B20" s="43" t="s">
        <v>49</v>
      </c>
      <c r="D20" s="17" t="s">
        <v>100</v>
      </c>
      <c r="E20" s="55">
        <v>55.6</v>
      </c>
      <c r="F20" s="55">
        <v>158.1</v>
      </c>
      <c r="G20">
        <f t="shared" si="0"/>
        <v>22.243906029898852</v>
      </c>
      <c r="H20" s="72">
        <v>78</v>
      </c>
      <c r="I20" s="72">
        <v>109</v>
      </c>
      <c r="J20" s="72">
        <v>69</v>
      </c>
      <c r="K20" s="58"/>
    </row>
    <row r="21" spans="1:11" x14ac:dyDescent="0.2">
      <c r="A21">
        <v>2024</v>
      </c>
      <c r="B21" s="43" t="s">
        <v>50</v>
      </c>
      <c r="D21" s="17" t="s">
        <v>100</v>
      </c>
      <c r="E21" s="55">
        <v>78.2</v>
      </c>
      <c r="F21" s="55">
        <v>156.5</v>
      </c>
      <c r="G21">
        <f t="shared" si="0"/>
        <v>31.928467168185858</v>
      </c>
      <c r="H21" s="72">
        <v>95</v>
      </c>
      <c r="I21" s="72">
        <v>126</v>
      </c>
      <c r="J21" s="72">
        <v>78</v>
      </c>
      <c r="K21" s="58" t="s">
        <v>331</v>
      </c>
    </row>
    <row r="22" spans="1:11" x14ac:dyDescent="0.2">
      <c r="A22">
        <v>2024</v>
      </c>
      <c r="B22" s="43" t="s">
        <v>51</v>
      </c>
      <c r="D22" s="17" t="s">
        <v>100</v>
      </c>
      <c r="E22" s="55">
        <v>57.7</v>
      </c>
      <c r="F22" s="55">
        <v>163.5</v>
      </c>
      <c r="G22">
        <f t="shared" si="0"/>
        <v>21.584415827324676</v>
      </c>
      <c r="H22" s="72">
        <v>80</v>
      </c>
      <c r="I22" s="72">
        <v>111</v>
      </c>
      <c r="J22" s="72">
        <v>69</v>
      </c>
      <c r="K22" s="58"/>
    </row>
    <row r="23" spans="1:11" x14ac:dyDescent="0.2">
      <c r="A23">
        <v>2024</v>
      </c>
      <c r="B23" s="43" t="s">
        <v>53</v>
      </c>
      <c r="D23" s="17" t="s">
        <v>100</v>
      </c>
      <c r="E23" s="55">
        <v>73.599999999999994</v>
      </c>
      <c r="F23" s="55">
        <v>170</v>
      </c>
      <c r="G23">
        <f t="shared" si="0"/>
        <v>25.46712802768166</v>
      </c>
      <c r="H23" s="72">
        <v>98</v>
      </c>
      <c r="I23" s="72">
        <v>116</v>
      </c>
      <c r="J23" s="72">
        <v>66</v>
      </c>
      <c r="K23" s="58"/>
    </row>
    <row r="24" spans="1:11" x14ac:dyDescent="0.2">
      <c r="A24">
        <v>2024</v>
      </c>
      <c r="B24" s="43" t="s">
        <v>54</v>
      </c>
      <c r="D24" s="17" t="s">
        <v>100</v>
      </c>
      <c r="E24" s="55">
        <v>92</v>
      </c>
      <c r="F24" s="55">
        <v>176</v>
      </c>
      <c r="G24">
        <f t="shared" si="0"/>
        <v>29.700413223140497</v>
      </c>
      <c r="H24" s="72">
        <v>101</v>
      </c>
      <c r="I24" s="72">
        <v>116</v>
      </c>
      <c r="J24" s="72">
        <v>73</v>
      </c>
      <c r="K24" s="58" t="s">
        <v>331</v>
      </c>
    </row>
    <row r="25" spans="1:11" x14ac:dyDescent="0.2">
      <c r="A25">
        <v>2024</v>
      </c>
      <c r="B25" s="43" t="s">
        <v>55</v>
      </c>
      <c r="D25" s="17" t="s">
        <v>100</v>
      </c>
      <c r="E25" s="15">
        <v>86.3</v>
      </c>
      <c r="F25" s="15">
        <v>179</v>
      </c>
      <c r="G25" s="15">
        <f t="shared" si="0"/>
        <v>26.934240504353795</v>
      </c>
      <c r="H25" s="74">
        <v>104</v>
      </c>
      <c r="I25" s="72">
        <v>105</v>
      </c>
      <c r="J25" s="72">
        <v>68</v>
      </c>
      <c r="K25" s="58"/>
    </row>
    <row r="26" spans="1:11" x14ac:dyDescent="0.2">
      <c r="A26">
        <v>2024</v>
      </c>
      <c r="B26" s="17" t="s">
        <v>56</v>
      </c>
      <c r="C26" s="17"/>
      <c r="D26" s="17" t="s">
        <v>100</v>
      </c>
      <c r="E26" s="55">
        <v>90.8</v>
      </c>
      <c r="F26" s="55">
        <v>152.5</v>
      </c>
      <c r="G26">
        <f t="shared" si="0"/>
        <v>39.043267938726153</v>
      </c>
      <c r="H26" s="72">
        <v>126</v>
      </c>
      <c r="I26" s="72">
        <v>141</v>
      </c>
      <c r="J26" s="72">
        <v>78</v>
      </c>
      <c r="K26" s="58"/>
    </row>
    <row r="27" spans="1:11" x14ac:dyDescent="0.2">
      <c r="A27">
        <v>2024</v>
      </c>
      <c r="B27" s="43" t="s">
        <v>57</v>
      </c>
      <c r="D27" s="17" t="s">
        <v>100</v>
      </c>
      <c r="E27">
        <v>79</v>
      </c>
      <c r="F27">
        <v>168.4</v>
      </c>
      <c r="G27">
        <f t="shared" si="0"/>
        <v>27.857549889698202</v>
      </c>
      <c r="H27" s="72">
        <v>93</v>
      </c>
      <c r="I27" s="72">
        <v>120</v>
      </c>
      <c r="J27" s="72">
        <v>75</v>
      </c>
      <c r="K27" s="58"/>
    </row>
    <row r="28" spans="1:11" x14ac:dyDescent="0.2">
      <c r="A28">
        <v>2024</v>
      </c>
      <c r="B28" s="43" t="s">
        <v>58</v>
      </c>
      <c r="D28" s="17" t="s">
        <v>100</v>
      </c>
      <c r="E28" s="55">
        <v>58.3</v>
      </c>
      <c r="F28" s="55">
        <v>167.8</v>
      </c>
      <c r="G28">
        <f t="shared" si="0"/>
        <v>20.705448480724396</v>
      </c>
      <c r="H28" s="72">
        <v>78</v>
      </c>
      <c r="I28" s="72">
        <v>172</v>
      </c>
      <c r="J28" s="72">
        <v>90</v>
      </c>
      <c r="K28" s="58"/>
    </row>
    <row r="29" spans="1:11" x14ac:dyDescent="0.2">
      <c r="A29">
        <v>2024</v>
      </c>
      <c r="B29" s="43" t="s">
        <v>59</v>
      </c>
      <c r="D29" s="17" t="s">
        <v>100</v>
      </c>
      <c r="E29" s="55">
        <v>114.8</v>
      </c>
      <c r="F29" s="55">
        <v>181.5</v>
      </c>
      <c r="G29">
        <f t="shared" si="0"/>
        <v>34.848864300404493</v>
      </c>
      <c r="H29" s="72">
        <v>116</v>
      </c>
      <c r="I29" s="72">
        <v>119</v>
      </c>
      <c r="J29" s="72">
        <v>63</v>
      </c>
      <c r="K29" s="58" t="s">
        <v>331</v>
      </c>
    </row>
    <row r="30" spans="1:11" x14ac:dyDescent="0.2">
      <c r="A30">
        <v>2024</v>
      </c>
      <c r="B30" s="43" t="s">
        <v>60</v>
      </c>
      <c r="D30" s="17" t="s">
        <v>100</v>
      </c>
      <c r="E30" s="55">
        <v>93.6</v>
      </c>
      <c r="F30" s="55">
        <v>175</v>
      </c>
      <c r="G30">
        <f t="shared" si="0"/>
        <v>30.563265306122446</v>
      </c>
      <c r="H30" s="72">
        <v>106</v>
      </c>
      <c r="I30" s="72">
        <v>153</v>
      </c>
      <c r="J30" s="72">
        <v>86</v>
      </c>
      <c r="K30" s="58" t="s">
        <v>331</v>
      </c>
    </row>
    <row r="31" spans="1:11" x14ac:dyDescent="0.2">
      <c r="A31">
        <v>2024</v>
      </c>
      <c r="B31" s="43" t="s">
        <v>61</v>
      </c>
      <c r="D31" s="17" t="s">
        <v>100</v>
      </c>
      <c r="E31">
        <v>114.9</v>
      </c>
      <c r="F31">
        <v>186</v>
      </c>
      <c r="G31">
        <f t="shared" si="0"/>
        <v>33.21193201526188</v>
      </c>
      <c r="H31" s="72">
        <v>122</v>
      </c>
      <c r="I31" s="72">
        <v>147</v>
      </c>
      <c r="J31" s="72">
        <v>94</v>
      </c>
      <c r="K31" s="58"/>
    </row>
    <row r="32" spans="1:11" x14ac:dyDescent="0.2">
      <c r="A32">
        <v>2024</v>
      </c>
      <c r="B32" s="43" t="s">
        <v>62</v>
      </c>
      <c r="D32" s="17" t="s">
        <v>100</v>
      </c>
      <c r="E32" s="55">
        <v>84.1</v>
      </c>
      <c r="F32" s="55">
        <v>173</v>
      </c>
      <c r="G32">
        <f t="shared" si="0"/>
        <v>28.09983627919409</v>
      </c>
      <c r="H32" s="72">
        <v>97</v>
      </c>
      <c r="I32" s="72">
        <v>123</v>
      </c>
      <c r="J32" s="72">
        <v>71</v>
      </c>
      <c r="K32" s="58"/>
    </row>
    <row r="33" spans="1:12" x14ac:dyDescent="0.2">
      <c r="A33">
        <v>2024</v>
      </c>
      <c r="B33" s="43" t="s">
        <v>64</v>
      </c>
      <c r="D33" s="17" t="s">
        <v>100</v>
      </c>
      <c r="E33">
        <v>79.099999999999994</v>
      </c>
      <c r="F33">
        <v>168.9</v>
      </c>
      <c r="G33">
        <f t="shared" si="0"/>
        <v>27.72791310471651</v>
      </c>
      <c r="H33" s="72">
        <v>93</v>
      </c>
      <c r="I33" s="72">
        <v>135</v>
      </c>
      <c r="J33" s="72">
        <v>84</v>
      </c>
      <c r="K33" s="58"/>
    </row>
    <row r="34" spans="1:12" x14ac:dyDescent="0.2">
      <c r="A34">
        <v>2024</v>
      </c>
      <c r="B34" s="43" t="s">
        <v>66</v>
      </c>
      <c r="D34" s="17" t="s">
        <v>100</v>
      </c>
      <c r="E34" s="55">
        <v>108.4</v>
      </c>
      <c r="F34" s="55">
        <v>168.2</v>
      </c>
      <c r="G34">
        <f t="shared" si="0"/>
        <v>38.315747206555812</v>
      </c>
      <c r="H34" s="72">
        <v>127</v>
      </c>
      <c r="I34" s="72">
        <v>149</v>
      </c>
      <c r="J34" s="72">
        <v>90</v>
      </c>
      <c r="K34" s="58" t="s">
        <v>331</v>
      </c>
    </row>
    <row r="35" spans="1:12" x14ac:dyDescent="0.2">
      <c r="A35">
        <v>2024</v>
      </c>
      <c r="B35" s="43" t="s">
        <v>67</v>
      </c>
      <c r="D35" s="17" t="s">
        <v>100</v>
      </c>
      <c r="E35" s="55">
        <v>95.8</v>
      </c>
      <c r="F35" s="55">
        <v>165</v>
      </c>
      <c r="G35">
        <f t="shared" si="0"/>
        <v>35.188246097337007</v>
      </c>
      <c r="H35" s="72">
        <v>111</v>
      </c>
      <c r="I35" s="72">
        <v>132</v>
      </c>
      <c r="J35" s="72">
        <v>76</v>
      </c>
      <c r="K35" s="58"/>
    </row>
    <row r="36" spans="1:12" x14ac:dyDescent="0.2">
      <c r="A36">
        <v>2024</v>
      </c>
      <c r="B36" s="43" t="s">
        <v>68</v>
      </c>
      <c r="D36" s="17" t="s">
        <v>100</v>
      </c>
      <c r="E36" s="55">
        <v>64.599999999999994</v>
      </c>
      <c r="F36" s="55">
        <v>161.19999999999999</v>
      </c>
      <c r="G36">
        <f t="shared" si="0"/>
        <v>24.860075488427366</v>
      </c>
      <c r="H36" s="72">
        <v>80</v>
      </c>
      <c r="I36" s="72">
        <v>137</v>
      </c>
      <c r="J36" s="72">
        <v>81</v>
      </c>
      <c r="K36" s="58"/>
    </row>
    <row r="37" spans="1:12" x14ac:dyDescent="0.2">
      <c r="A37">
        <v>2024</v>
      </c>
      <c r="B37" s="43" t="s">
        <v>69</v>
      </c>
      <c r="D37" s="17" t="s">
        <v>100</v>
      </c>
      <c r="E37" s="58">
        <v>80.099999999999994</v>
      </c>
      <c r="F37" s="58">
        <v>169.5</v>
      </c>
      <c r="G37">
        <f t="shared" si="0"/>
        <v>27.88002192810713</v>
      </c>
      <c r="H37" s="73">
        <v>0</v>
      </c>
      <c r="I37" s="72">
        <v>0</v>
      </c>
      <c r="J37" s="72">
        <v>0</v>
      </c>
      <c r="K37" s="58" t="s">
        <v>331</v>
      </c>
    </row>
    <row r="38" spans="1:12" x14ac:dyDescent="0.2">
      <c r="A38">
        <v>2024</v>
      </c>
      <c r="B38" s="43" t="s">
        <v>70</v>
      </c>
      <c r="D38" s="17" t="s">
        <v>100</v>
      </c>
      <c r="E38">
        <v>64.8</v>
      </c>
      <c r="F38">
        <v>173.8</v>
      </c>
      <c r="G38">
        <f t="shared" si="0"/>
        <v>21.452379029107693</v>
      </c>
      <c r="H38" s="72">
        <v>75</v>
      </c>
      <c r="I38" s="72">
        <v>166</v>
      </c>
      <c r="J38" s="72">
        <v>83</v>
      </c>
      <c r="K38" s="58"/>
    </row>
    <row r="39" spans="1:12" x14ac:dyDescent="0.2">
      <c r="A39">
        <v>2024</v>
      </c>
      <c r="B39" s="43" t="s">
        <v>72</v>
      </c>
      <c r="D39" s="17" t="s">
        <v>100</v>
      </c>
      <c r="E39" s="55">
        <v>66.7</v>
      </c>
      <c r="F39" s="55">
        <v>170</v>
      </c>
      <c r="G39">
        <f t="shared" si="0"/>
        <v>23.079584775086509</v>
      </c>
      <c r="H39" s="72">
        <v>83</v>
      </c>
      <c r="I39" s="72">
        <v>112</v>
      </c>
      <c r="J39" s="72">
        <v>67</v>
      </c>
      <c r="K39" s="58"/>
    </row>
    <row r="40" spans="1:12" x14ac:dyDescent="0.2">
      <c r="A40">
        <v>2024</v>
      </c>
      <c r="B40" s="43" t="s">
        <v>73</v>
      </c>
      <c r="D40" s="17" t="s">
        <v>100</v>
      </c>
      <c r="E40" s="55">
        <v>57.4</v>
      </c>
      <c r="F40" s="55">
        <v>156.5</v>
      </c>
      <c r="G40">
        <f t="shared" si="0"/>
        <v>23.435984852351254</v>
      </c>
      <c r="H40" s="72" t="s">
        <v>191</v>
      </c>
      <c r="I40" s="72">
        <v>129</v>
      </c>
      <c r="J40" s="72">
        <v>74</v>
      </c>
      <c r="K40" s="58"/>
    </row>
    <row r="41" spans="1:12" x14ac:dyDescent="0.2">
      <c r="A41">
        <v>2024</v>
      </c>
      <c r="B41" s="43" t="s">
        <v>74</v>
      </c>
      <c r="D41" s="17" t="s">
        <v>100</v>
      </c>
      <c r="E41" s="55">
        <v>61.9</v>
      </c>
      <c r="F41" s="55">
        <v>173</v>
      </c>
      <c r="G41">
        <f t="shared" si="0"/>
        <v>20.682281399311702</v>
      </c>
      <c r="H41" s="72">
        <v>83</v>
      </c>
      <c r="I41" s="72">
        <v>115</v>
      </c>
      <c r="J41" s="72">
        <v>74</v>
      </c>
      <c r="K41" s="58" t="s">
        <v>331</v>
      </c>
    </row>
    <row r="42" spans="1:12" x14ac:dyDescent="0.2">
      <c r="A42">
        <v>2024</v>
      </c>
      <c r="B42" s="43" t="s">
        <v>76</v>
      </c>
      <c r="D42" s="17" t="s">
        <v>100</v>
      </c>
      <c r="E42" s="55">
        <v>72.5</v>
      </c>
      <c r="F42" s="55">
        <v>171.7</v>
      </c>
      <c r="G42">
        <f t="shared" si="0"/>
        <v>24.592201931488503</v>
      </c>
      <c r="H42" s="72">
        <v>81</v>
      </c>
      <c r="I42" s="72">
        <v>119</v>
      </c>
      <c r="J42" s="72">
        <v>71</v>
      </c>
      <c r="K42" s="58"/>
    </row>
    <row r="43" spans="1:12" x14ac:dyDescent="0.2">
      <c r="A43">
        <v>2024</v>
      </c>
      <c r="B43" s="43" t="s">
        <v>77</v>
      </c>
      <c r="D43" s="17" t="s">
        <v>100</v>
      </c>
      <c r="E43" s="55">
        <v>75.400000000000006</v>
      </c>
      <c r="F43" s="55">
        <v>171</v>
      </c>
      <c r="G43">
        <f t="shared" si="0"/>
        <v>25.785711842960232</v>
      </c>
      <c r="H43" s="72">
        <v>90</v>
      </c>
      <c r="I43" s="72">
        <v>119</v>
      </c>
      <c r="J43" s="72">
        <v>75</v>
      </c>
      <c r="K43" s="58"/>
    </row>
    <row r="44" spans="1:12" x14ac:dyDescent="0.2">
      <c r="A44">
        <v>2024</v>
      </c>
      <c r="B44" s="43" t="s">
        <v>78</v>
      </c>
      <c r="D44" s="17" t="s">
        <v>100</v>
      </c>
      <c r="E44" s="58">
        <v>74.599999999999994</v>
      </c>
      <c r="F44" s="55">
        <v>168</v>
      </c>
      <c r="G44">
        <f t="shared" si="0"/>
        <v>26.431405895691611</v>
      </c>
      <c r="H44" s="72">
        <v>87</v>
      </c>
      <c r="I44" s="72">
        <v>109</v>
      </c>
      <c r="J44" s="72">
        <v>72</v>
      </c>
      <c r="L44" s="58" t="s">
        <v>342</v>
      </c>
    </row>
    <row r="45" spans="1:12" x14ac:dyDescent="0.2">
      <c r="A45">
        <v>2024</v>
      </c>
      <c r="B45" s="43" t="s">
        <v>78</v>
      </c>
      <c r="D45" s="17" t="s">
        <v>100</v>
      </c>
      <c r="E45">
        <v>74.5</v>
      </c>
      <c r="F45">
        <v>168</v>
      </c>
      <c r="G45">
        <f t="shared" si="0"/>
        <v>26.395975056689345</v>
      </c>
      <c r="H45" s="72">
        <v>87</v>
      </c>
      <c r="I45" s="72">
        <v>109</v>
      </c>
      <c r="J45" s="72">
        <v>72</v>
      </c>
      <c r="L45" s="58" t="s">
        <v>343</v>
      </c>
    </row>
    <row r="46" spans="1:12" x14ac:dyDescent="0.2">
      <c r="A46">
        <v>2024</v>
      </c>
      <c r="B46" s="43" t="s">
        <v>79</v>
      </c>
      <c r="D46" s="17" t="s">
        <v>100</v>
      </c>
      <c r="E46">
        <v>54.7</v>
      </c>
      <c r="F46">
        <v>156.30000000000001</v>
      </c>
      <c r="G46">
        <f t="shared" si="0"/>
        <v>22.390787603117349</v>
      </c>
      <c r="H46" s="72">
        <v>78</v>
      </c>
      <c r="I46" s="72">
        <v>107</v>
      </c>
      <c r="J46" s="72">
        <v>64</v>
      </c>
      <c r="K46" s="58"/>
    </row>
    <row r="47" spans="1:12" x14ac:dyDescent="0.2">
      <c r="A47">
        <v>2024</v>
      </c>
      <c r="B47" s="43" t="s">
        <v>80</v>
      </c>
      <c r="D47" s="17" t="s">
        <v>100</v>
      </c>
      <c r="E47" s="55">
        <v>58.1</v>
      </c>
      <c r="F47" s="55">
        <v>158</v>
      </c>
      <c r="G47">
        <f t="shared" si="0"/>
        <v>23.273513859958339</v>
      </c>
      <c r="H47" s="72">
        <v>82</v>
      </c>
      <c r="I47" s="72">
        <v>131</v>
      </c>
      <c r="J47" s="72">
        <v>80</v>
      </c>
      <c r="K47" s="58"/>
    </row>
    <row r="48" spans="1:12" x14ac:dyDescent="0.2">
      <c r="A48">
        <v>2024</v>
      </c>
      <c r="B48" s="43" t="s">
        <v>23</v>
      </c>
      <c r="D48" s="43" t="s">
        <v>104</v>
      </c>
      <c r="E48">
        <v>74.099999999999994</v>
      </c>
      <c r="F48">
        <v>159.6</v>
      </c>
      <c r="G48">
        <f t="shared" ref="G48:G111" si="1">E48/((F48/100)*(F48/100))</f>
        <v>29.090583601861798</v>
      </c>
      <c r="H48" s="72">
        <v>95</v>
      </c>
      <c r="I48" s="72">
        <v>136</v>
      </c>
      <c r="J48" s="72">
        <v>84</v>
      </c>
    </row>
    <row r="49" spans="1:10" x14ac:dyDescent="0.2">
      <c r="A49">
        <v>2024</v>
      </c>
      <c r="B49" s="43" t="s">
        <v>26</v>
      </c>
      <c r="D49" s="43" t="s">
        <v>104</v>
      </c>
      <c r="E49">
        <v>57</v>
      </c>
      <c r="F49">
        <v>160.1</v>
      </c>
      <c r="G49">
        <f t="shared" si="1"/>
        <v>22.237819039552498</v>
      </c>
      <c r="H49" s="72">
        <v>76</v>
      </c>
      <c r="I49" s="72">
        <v>129</v>
      </c>
      <c r="J49" s="72">
        <v>65</v>
      </c>
    </row>
    <row r="50" spans="1:10" x14ac:dyDescent="0.2">
      <c r="A50">
        <v>2024</v>
      </c>
      <c r="B50" s="43" t="s">
        <v>27</v>
      </c>
      <c r="D50" s="43" t="s">
        <v>104</v>
      </c>
      <c r="E50">
        <v>72.599999999999994</v>
      </c>
      <c r="F50">
        <v>174.8</v>
      </c>
      <c r="G50">
        <f t="shared" si="1"/>
        <v>23.760400902764314</v>
      </c>
      <c r="H50" s="72">
        <v>78</v>
      </c>
      <c r="I50" s="72">
        <v>117</v>
      </c>
      <c r="J50" s="72">
        <v>83</v>
      </c>
    </row>
    <row r="51" spans="1:10" x14ac:dyDescent="0.2">
      <c r="A51">
        <v>2024</v>
      </c>
      <c r="B51" s="43" t="s">
        <v>30</v>
      </c>
      <c r="D51" s="43" t="s">
        <v>104</v>
      </c>
      <c r="E51">
        <v>82.6</v>
      </c>
      <c r="F51">
        <v>174.7</v>
      </c>
      <c r="G51">
        <f t="shared" si="1"/>
        <v>27.064140374422227</v>
      </c>
      <c r="H51" s="72">
        <v>93</v>
      </c>
      <c r="I51" s="72">
        <v>155</v>
      </c>
      <c r="J51" s="72">
        <v>92</v>
      </c>
    </row>
    <row r="52" spans="1:10" x14ac:dyDescent="0.2">
      <c r="A52">
        <v>2024</v>
      </c>
      <c r="B52" s="43" t="s">
        <v>34</v>
      </c>
      <c r="D52" s="43" t="s">
        <v>104</v>
      </c>
      <c r="E52">
        <v>101.3</v>
      </c>
      <c r="F52">
        <v>160.5</v>
      </c>
      <c r="G52">
        <f t="shared" si="1"/>
        <v>39.324152521811705</v>
      </c>
      <c r="H52" s="72">
        <v>110</v>
      </c>
      <c r="I52" s="72">
        <v>124</v>
      </c>
      <c r="J52" s="72">
        <v>74</v>
      </c>
    </row>
    <row r="53" spans="1:10" x14ac:dyDescent="0.2">
      <c r="A53">
        <v>2024</v>
      </c>
      <c r="B53" s="43" t="s">
        <v>36</v>
      </c>
      <c r="D53" s="43" t="s">
        <v>104</v>
      </c>
      <c r="E53">
        <v>94</v>
      </c>
      <c r="F53">
        <v>171.7</v>
      </c>
      <c r="G53">
        <f t="shared" si="1"/>
        <v>31.885061814619576</v>
      </c>
      <c r="H53" s="72">
        <v>103</v>
      </c>
      <c r="I53" s="72">
        <v>120</v>
      </c>
      <c r="J53" s="72">
        <v>77</v>
      </c>
    </row>
    <row r="54" spans="1:10" x14ac:dyDescent="0.2">
      <c r="A54">
        <v>2024</v>
      </c>
      <c r="B54" s="43" t="s">
        <v>37</v>
      </c>
      <c r="D54" s="43" t="s">
        <v>104</v>
      </c>
      <c r="E54">
        <v>53.7</v>
      </c>
      <c r="F54">
        <v>167.4</v>
      </c>
      <c r="G54">
        <f t="shared" si="1"/>
        <v>19.162994651490429</v>
      </c>
      <c r="H54" s="72">
        <v>67</v>
      </c>
      <c r="I54" s="72">
        <v>99</v>
      </c>
      <c r="J54" s="72">
        <v>69</v>
      </c>
    </row>
    <row r="55" spans="1:10" x14ac:dyDescent="0.2">
      <c r="A55">
        <v>2024</v>
      </c>
      <c r="B55" s="43" t="s">
        <v>38</v>
      </c>
      <c r="D55" s="43" t="s">
        <v>104</v>
      </c>
      <c r="E55">
        <v>88.8</v>
      </c>
      <c r="F55">
        <v>161.69999999999999</v>
      </c>
      <c r="G55">
        <f t="shared" si="1"/>
        <v>33.961974062689677</v>
      </c>
      <c r="H55" s="72">
        <v>98</v>
      </c>
      <c r="I55" s="72">
        <v>112</v>
      </c>
      <c r="J55" s="72">
        <v>73</v>
      </c>
    </row>
    <row r="56" spans="1:10" x14ac:dyDescent="0.2">
      <c r="A56">
        <v>2024</v>
      </c>
      <c r="B56" s="43" t="s">
        <v>39</v>
      </c>
      <c r="D56" s="43" t="s">
        <v>104</v>
      </c>
      <c r="E56">
        <v>80.900000000000006</v>
      </c>
      <c r="F56">
        <v>172</v>
      </c>
      <c r="G56">
        <f t="shared" si="1"/>
        <v>27.345862628447815</v>
      </c>
      <c r="H56" s="72">
        <v>100</v>
      </c>
      <c r="I56" s="72">
        <v>128</v>
      </c>
      <c r="J56" s="72">
        <v>74</v>
      </c>
    </row>
    <row r="57" spans="1:10" x14ac:dyDescent="0.2">
      <c r="A57">
        <v>2024</v>
      </c>
      <c r="B57" s="43" t="s">
        <v>43</v>
      </c>
      <c r="D57" s="43" t="s">
        <v>104</v>
      </c>
      <c r="E57">
        <v>78.099999999999994</v>
      </c>
      <c r="F57">
        <v>178.5</v>
      </c>
      <c r="G57">
        <f t="shared" si="1"/>
        <v>24.51176549050993</v>
      </c>
      <c r="H57" s="72">
        <v>91</v>
      </c>
      <c r="I57" s="72">
        <v>112</v>
      </c>
      <c r="J57" s="72">
        <v>64</v>
      </c>
    </row>
    <row r="58" spans="1:10" x14ac:dyDescent="0.2">
      <c r="A58">
        <v>2024</v>
      </c>
      <c r="B58" s="43" t="s">
        <v>44</v>
      </c>
      <c r="D58" s="43" t="s">
        <v>104</v>
      </c>
      <c r="E58">
        <v>87.6</v>
      </c>
      <c r="F58">
        <v>179.1</v>
      </c>
      <c r="G58">
        <f t="shared" si="1"/>
        <v>27.309448788704366</v>
      </c>
      <c r="H58" s="72">
        <v>98</v>
      </c>
      <c r="I58" s="72">
        <v>129</v>
      </c>
      <c r="J58" s="72">
        <v>78</v>
      </c>
    </row>
    <row r="59" spans="1:10" x14ac:dyDescent="0.2">
      <c r="A59">
        <v>2024</v>
      </c>
      <c r="B59" s="43" t="s">
        <v>45</v>
      </c>
      <c r="D59" s="43" t="s">
        <v>104</v>
      </c>
      <c r="E59">
        <v>93.1</v>
      </c>
      <c r="F59">
        <v>171.3</v>
      </c>
      <c r="G59">
        <f t="shared" si="1"/>
        <v>31.727434416053327</v>
      </c>
      <c r="H59" s="72">
        <v>115</v>
      </c>
      <c r="I59" s="72">
        <v>136</v>
      </c>
      <c r="J59" s="72">
        <v>88</v>
      </c>
    </row>
    <row r="60" spans="1:10" x14ac:dyDescent="0.2">
      <c r="A60">
        <v>2024</v>
      </c>
      <c r="B60" s="43" t="s">
        <v>46</v>
      </c>
      <c r="D60" s="43" t="s">
        <v>104</v>
      </c>
      <c r="E60">
        <v>97</v>
      </c>
      <c r="F60">
        <v>186.2</v>
      </c>
      <c r="G60">
        <f t="shared" si="1"/>
        <v>27.977723963122479</v>
      </c>
      <c r="H60" s="72">
        <v>98</v>
      </c>
      <c r="I60" s="72">
        <v>144</v>
      </c>
      <c r="J60" s="72">
        <v>100</v>
      </c>
    </row>
    <row r="61" spans="1:10" x14ac:dyDescent="0.2">
      <c r="A61">
        <v>2024</v>
      </c>
      <c r="B61" s="43" t="s">
        <v>47</v>
      </c>
      <c r="D61" s="43" t="s">
        <v>104</v>
      </c>
      <c r="E61">
        <v>77.2</v>
      </c>
      <c r="F61">
        <v>178.9</v>
      </c>
      <c r="G61">
        <f t="shared" si="1"/>
        <v>24.121072787836727</v>
      </c>
      <c r="H61" s="72">
        <v>97</v>
      </c>
      <c r="I61" s="72">
        <v>131</v>
      </c>
      <c r="J61" s="72">
        <v>82</v>
      </c>
    </row>
    <row r="62" spans="1:10" x14ac:dyDescent="0.2">
      <c r="A62">
        <v>2024</v>
      </c>
      <c r="B62" s="43" t="s">
        <v>49</v>
      </c>
      <c r="D62" s="43" t="s">
        <v>104</v>
      </c>
      <c r="E62">
        <v>56.7</v>
      </c>
      <c r="F62">
        <v>158.4</v>
      </c>
      <c r="G62">
        <f t="shared" si="1"/>
        <v>22.598140495867767</v>
      </c>
      <c r="H62" s="72">
        <v>75</v>
      </c>
      <c r="I62" s="72">
        <v>105</v>
      </c>
      <c r="J62" s="72">
        <v>69</v>
      </c>
    </row>
    <row r="63" spans="1:10" x14ac:dyDescent="0.2">
      <c r="A63">
        <v>2024</v>
      </c>
      <c r="B63" s="43" t="s">
        <v>51</v>
      </c>
      <c r="D63" s="43" t="s">
        <v>104</v>
      </c>
      <c r="E63">
        <v>56.4</v>
      </c>
      <c r="F63">
        <v>163.5</v>
      </c>
      <c r="G63">
        <f t="shared" si="1"/>
        <v>21.098111831215107</v>
      </c>
      <c r="H63" s="72">
        <v>80</v>
      </c>
      <c r="I63" s="72">
        <v>112</v>
      </c>
      <c r="J63" s="72">
        <v>73</v>
      </c>
    </row>
    <row r="64" spans="1:10" x14ac:dyDescent="0.2">
      <c r="A64">
        <v>2024</v>
      </c>
      <c r="B64" s="43" t="s">
        <v>53</v>
      </c>
      <c r="D64" s="43" t="s">
        <v>104</v>
      </c>
      <c r="E64">
        <v>74.099999999999994</v>
      </c>
      <c r="F64">
        <v>169.5</v>
      </c>
      <c r="G64">
        <f t="shared" si="1"/>
        <v>25.791630772443675</v>
      </c>
      <c r="H64" s="72">
        <v>97</v>
      </c>
      <c r="I64" s="72">
        <v>109</v>
      </c>
      <c r="J64" s="72">
        <v>64</v>
      </c>
    </row>
    <row r="65" spans="1:10" x14ac:dyDescent="0.2">
      <c r="A65">
        <v>2024</v>
      </c>
      <c r="B65" s="43" t="s">
        <v>55</v>
      </c>
      <c r="D65" s="43" t="s">
        <v>104</v>
      </c>
      <c r="E65">
        <v>82.9</v>
      </c>
      <c r="F65">
        <v>179</v>
      </c>
      <c r="G65">
        <f t="shared" si="1"/>
        <v>25.873100090509038</v>
      </c>
      <c r="H65" s="72">
        <v>95</v>
      </c>
      <c r="I65" s="72">
        <v>109</v>
      </c>
      <c r="J65" s="72">
        <v>69</v>
      </c>
    </row>
    <row r="66" spans="1:10" x14ac:dyDescent="0.2">
      <c r="A66">
        <v>2024</v>
      </c>
      <c r="B66" s="43" t="s">
        <v>56</v>
      </c>
      <c r="D66" s="43" t="s">
        <v>104</v>
      </c>
      <c r="E66">
        <v>89.3</v>
      </c>
      <c r="F66">
        <v>151.5</v>
      </c>
      <c r="G66">
        <f t="shared" si="1"/>
        <v>38.90686098312802</v>
      </c>
      <c r="H66" s="72">
        <v>122</v>
      </c>
      <c r="I66" s="72">
        <v>136</v>
      </c>
      <c r="J66" s="72">
        <v>84</v>
      </c>
    </row>
    <row r="67" spans="1:10" x14ac:dyDescent="0.2">
      <c r="A67">
        <v>2024</v>
      </c>
      <c r="B67" s="43" t="s">
        <v>57</v>
      </c>
      <c r="D67" s="43" t="s">
        <v>104</v>
      </c>
      <c r="E67">
        <v>80.7</v>
      </c>
      <c r="F67">
        <v>168</v>
      </c>
      <c r="G67">
        <f t="shared" si="1"/>
        <v>28.592687074829936</v>
      </c>
      <c r="H67" s="72">
        <v>91</v>
      </c>
      <c r="I67" s="72">
        <v>115</v>
      </c>
      <c r="J67" s="72">
        <v>77</v>
      </c>
    </row>
    <row r="68" spans="1:10" x14ac:dyDescent="0.2">
      <c r="A68">
        <v>2024</v>
      </c>
      <c r="B68" s="43" t="s">
        <v>58</v>
      </c>
      <c r="D68" s="43" t="s">
        <v>104</v>
      </c>
      <c r="E68">
        <v>58.3</v>
      </c>
      <c r="F68">
        <v>167.8</v>
      </c>
      <c r="G68">
        <f t="shared" si="1"/>
        <v>20.705448480724396</v>
      </c>
      <c r="H68" s="72">
        <v>78</v>
      </c>
      <c r="I68" s="72">
        <v>173</v>
      </c>
      <c r="J68" s="72">
        <v>86</v>
      </c>
    </row>
    <row r="69" spans="1:10" x14ac:dyDescent="0.2">
      <c r="A69">
        <v>2024</v>
      </c>
      <c r="B69" s="43" t="s">
        <v>61</v>
      </c>
      <c r="D69" s="43" t="s">
        <v>104</v>
      </c>
      <c r="E69">
        <v>116.6</v>
      </c>
      <c r="F69">
        <v>186</v>
      </c>
      <c r="G69">
        <f t="shared" si="1"/>
        <v>33.703318302693944</v>
      </c>
      <c r="H69" s="72">
        <v>122</v>
      </c>
      <c r="I69" s="72">
        <v>158</v>
      </c>
      <c r="J69" s="72">
        <v>94</v>
      </c>
    </row>
    <row r="70" spans="1:10" x14ac:dyDescent="0.2">
      <c r="A70">
        <v>2024</v>
      </c>
      <c r="B70" s="43" t="s">
        <v>62</v>
      </c>
      <c r="D70" s="43" t="s">
        <v>104</v>
      </c>
      <c r="E70">
        <v>82.6</v>
      </c>
      <c r="F70">
        <v>172.9</v>
      </c>
      <c r="G70">
        <f t="shared" si="1"/>
        <v>27.63058377803743</v>
      </c>
      <c r="H70" s="72">
        <v>95</v>
      </c>
      <c r="I70" s="72">
        <v>119</v>
      </c>
      <c r="J70" s="72">
        <v>74</v>
      </c>
    </row>
    <row r="71" spans="1:10" x14ac:dyDescent="0.2">
      <c r="A71">
        <v>2024</v>
      </c>
      <c r="B71" s="43" t="s">
        <v>64</v>
      </c>
      <c r="D71" s="43" t="s">
        <v>104</v>
      </c>
      <c r="E71">
        <v>80.099999999999994</v>
      </c>
      <c r="F71">
        <v>168.9</v>
      </c>
      <c r="G71">
        <f t="shared" si="1"/>
        <v>28.07845562184314</v>
      </c>
      <c r="H71" s="72">
        <v>91</v>
      </c>
      <c r="I71" s="72">
        <v>144</v>
      </c>
      <c r="J71" s="72">
        <v>93</v>
      </c>
    </row>
    <row r="72" spans="1:10" x14ac:dyDescent="0.2">
      <c r="A72">
        <v>2024</v>
      </c>
      <c r="B72" s="43" t="s">
        <v>67</v>
      </c>
      <c r="D72" s="43" t="s">
        <v>104</v>
      </c>
      <c r="E72">
        <v>94.5</v>
      </c>
      <c r="F72">
        <v>165</v>
      </c>
      <c r="G72">
        <f t="shared" si="1"/>
        <v>34.710743801652896</v>
      </c>
      <c r="H72" s="72">
        <v>108</v>
      </c>
      <c r="I72" s="72">
        <v>126</v>
      </c>
      <c r="J72" s="72">
        <v>72</v>
      </c>
    </row>
    <row r="73" spans="1:10" x14ac:dyDescent="0.2">
      <c r="A73">
        <v>2024</v>
      </c>
      <c r="B73" s="43" t="s">
        <v>68</v>
      </c>
      <c r="D73" s="43" t="s">
        <v>104</v>
      </c>
      <c r="E73">
        <v>65</v>
      </c>
      <c r="F73">
        <v>161.5</v>
      </c>
      <c r="G73">
        <f t="shared" si="1"/>
        <v>24.921162859799288</v>
      </c>
      <c r="H73" s="72">
        <v>80</v>
      </c>
      <c r="I73" s="72">
        <v>137</v>
      </c>
      <c r="J73" s="72">
        <v>76</v>
      </c>
    </row>
    <row r="74" spans="1:10" x14ac:dyDescent="0.2">
      <c r="A74">
        <v>2024</v>
      </c>
      <c r="B74" s="43" t="s">
        <v>70</v>
      </c>
      <c r="D74" s="43" t="s">
        <v>104</v>
      </c>
      <c r="E74">
        <v>65.3</v>
      </c>
      <c r="F74">
        <v>173.5</v>
      </c>
      <c r="G74">
        <f t="shared" si="1"/>
        <v>21.692730609838133</v>
      </c>
      <c r="H74" s="72">
        <v>75</v>
      </c>
      <c r="I74" s="72">
        <v>165</v>
      </c>
      <c r="J74" s="72">
        <v>79</v>
      </c>
    </row>
    <row r="75" spans="1:10" x14ac:dyDescent="0.2">
      <c r="A75">
        <v>2024</v>
      </c>
      <c r="B75" s="43" t="s">
        <v>72</v>
      </c>
      <c r="D75" s="43" t="s">
        <v>104</v>
      </c>
      <c r="E75">
        <v>67.5</v>
      </c>
      <c r="F75">
        <v>170</v>
      </c>
      <c r="G75">
        <f t="shared" si="1"/>
        <v>23.356401384083046</v>
      </c>
      <c r="H75" s="72">
        <v>82</v>
      </c>
      <c r="I75" s="72">
        <v>115</v>
      </c>
      <c r="J75" s="72">
        <v>70</v>
      </c>
    </row>
    <row r="76" spans="1:10" x14ac:dyDescent="0.2">
      <c r="A76">
        <v>2024</v>
      </c>
      <c r="B76" s="43" t="s">
        <v>73</v>
      </c>
      <c r="D76" s="43" t="s">
        <v>104</v>
      </c>
      <c r="E76">
        <v>56.4</v>
      </c>
      <c r="F76">
        <v>155.5</v>
      </c>
      <c r="G76">
        <f t="shared" si="1"/>
        <v>23.324820876541807</v>
      </c>
      <c r="H76" s="72">
        <v>80</v>
      </c>
      <c r="I76" s="72">
        <v>131</v>
      </c>
      <c r="J76" s="72">
        <v>77</v>
      </c>
    </row>
    <row r="77" spans="1:10" x14ac:dyDescent="0.2">
      <c r="A77">
        <v>2024</v>
      </c>
      <c r="B77" s="43" t="s">
        <v>76</v>
      </c>
      <c r="D77" s="43" t="s">
        <v>104</v>
      </c>
      <c r="E77">
        <v>74.3</v>
      </c>
      <c r="F77">
        <v>171.2</v>
      </c>
      <c r="G77">
        <f t="shared" si="1"/>
        <v>25.350194340117042</v>
      </c>
      <c r="H77" s="72">
        <v>81</v>
      </c>
      <c r="I77" s="72">
        <v>119</v>
      </c>
      <c r="J77" s="72">
        <v>77</v>
      </c>
    </row>
    <row r="78" spans="1:10" x14ac:dyDescent="0.2">
      <c r="A78">
        <v>2024</v>
      </c>
      <c r="B78" s="43" t="s">
        <v>77</v>
      </c>
      <c r="D78" s="43" t="s">
        <v>104</v>
      </c>
      <c r="E78">
        <v>75</v>
      </c>
      <c r="F78">
        <v>170.8</v>
      </c>
      <c r="G78">
        <f t="shared" si="1"/>
        <v>25.709020506885899</v>
      </c>
      <c r="H78" s="72">
        <v>88</v>
      </c>
      <c r="I78" s="72">
        <v>125</v>
      </c>
      <c r="J78" s="72">
        <v>77</v>
      </c>
    </row>
    <row r="79" spans="1:10" x14ac:dyDescent="0.2">
      <c r="A79">
        <v>2024</v>
      </c>
      <c r="B79" s="43" t="s">
        <v>78</v>
      </c>
      <c r="D79" s="43" t="s">
        <v>104</v>
      </c>
      <c r="E79">
        <v>78</v>
      </c>
      <c r="F79">
        <v>167.5</v>
      </c>
      <c r="G79">
        <f t="shared" si="1"/>
        <v>27.801292047226553</v>
      </c>
      <c r="H79" s="72">
        <v>88</v>
      </c>
      <c r="I79" s="72">
        <v>102</v>
      </c>
      <c r="J79" s="72">
        <v>65</v>
      </c>
    </row>
    <row r="80" spans="1:10" x14ac:dyDescent="0.2">
      <c r="A80">
        <v>2024</v>
      </c>
      <c r="B80" s="43" t="s">
        <v>79</v>
      </c>
      <c r="D80" s="43" t="s">
        <v>104</v>
      </c>
      <c r="E80">
        <v>52.7</v>
      </c>
      <c r="F80">
        <v>156</v>
      </c>
      <c r="G80">
        <f t="shared" si="1"/>
        <v>21.655161078238002</v>
      </c>
      <c r="H80" s="72">
        <v>75</v>
      </c>
      <c r="I80" s="72">
        <v>114</v>
      </c>
      <c r="J80" s="72">
        <v>78</v>
      </c>
    </row>
    <row r="81" spans="1:10" x14ac:dyDescent="0.2">
      <c r="A81">
        <v>2024</v>
      </c>
      <c r="B81" s="43" t="s">
        <v>80</v>
      </c>
      <c r="D81" s="43" t="s">
        <v>104</v>
      </c>
      <c r="E81">
        <v>56.7</v>
      </c>
      <c r="F81">
        <v>157.80000000000001</v>
      </c>
      <c r="G81">
        <f t="shared" si="1"/>
        <v>22.770316182104697</v>
      </c>
      <c r="H81" s="72">
        <v>78</v>
      </c>
      <c r="I81" s="72">
        <v>136</v>
      </c>
      <c r="J81" s="72">
        <v>79</v>
      </c>
    </row>
    <row r="83" spans="1:10" x14ac:dyDescent="0.2">
      <c r="A83">
        <v>2025</v>
      </c>
      <c r="B83" s="139" t="s">
        <v>416</v>
      </c>
      <c r="C83" s="141">
        <v>45898</v>
      </c>
      <c r="D83" s="139" t="s">
        <v>524</v>
      </c>
      <c r="E83" s="139">
        <v>88.8</v>
      </c>
      <c r="F83" s="139">
        <v>183.6</v>
      </c>
      <c r="G83">
        <f t="shared" si="1"/>
        <v>26.343144374670711</v>
      </c>
      <c r="H83" s="139">
        <v>97.3</v>
      </c>
      <c r="I83" s="139">
        <v>131</v>
      </c>
      <c r="J83" s="43">
        <v>86</v>
      </c>
    </row>
    <row r="84" spans="1:10" x14ac:dyDescent="0.2">
      <c r="A84">
        <v>2025</v>
      </c>
      <c r="B84" s="139" t="s">
        <v>418</v>
      </c>
      <c r="C84" s="141">
        <v>45901</v>
      </c>
      <c r="D84" s="139" t="s">
        <v>524</v>
      </c>
      <c r="E84" s="139">
        <v>79.400000000000006</v>
      </c>
      <c r="F84" s="139">
        <v>175.3</v>
      </c>
      <c r="G84">
        <f t="shared" si="1"/>
        <v>25.83786770556155</v>
      </c>
      <c r="H84" s="139">
        <v>103.2</v>
      </c>
      <c r="I84" s="139">
        <v>127</v>
      </c>
      <c r="J84" s="43">
        <v>81</v>
      </c>
    </row>
    <row r="85" spans="1:10" x14ac:dyDescent="0.2">
      <c r="A85">
        <v>2025</v>
      </c>
      <c r="B85" s="139" t="s">
        <v>477</v>
      </c>
      <c r="C85" s="141">
        <v>45901</v>
      </c>
      <c r="D85" s="139" t="s">
        <v>524</v>
      </c>
      <c r="E85" s="139">
        <v>79.5</v>
      </c>
      <c r="F85" s="139">
        <v>184.3</v>
      </c>
      <c r="G85">
        <f t="shared" si="1"/>
        <v>23.405421048804271</v>
      </c>
      <c r="H85" s="139">
        <v>91.1</v>
      </c>
      <c r="I85" s="139">
        <v>128</v>
      </c>
      <c r="J85" s="43">
        <v>81</v>
      </c>
    </row>
    <row r="86" spans="1:10" x14ac:dyDescent="0.2">
      <c r="A86">
        <v>2025</v>
      </c>
      <c r="B86" s="139" t="s">
        <v>422</v>
      </c>
      <c r="C86" s="141">
        <v>45896</v>
      </c>
      <c r="D86" s="139" t="s">
        <v>19</v>
      </c>
      <c r="E86" s="139">
        <v>87.9</v>
      </c>
      <c r="F86" s="139">
        <v>181.2</v>
      </c>
      <c r="G86">
        <f t="shared" si="1"/>
        <v>26.771486630703336</v>
      </c>
      <c r="H86" s="139">
        <v>100</v>
      </c>
      <c r="I86" s="139">
        <v>130</v>
      </c>
      <c r="J86" s="43">
        <v>82</v>
      </c>
    </row>
    <row r="87" spans="1:10" x14ac:dyDescent="0.2">
      <c r="A87">
        <v>2025</v>
      </c>
      <c r="B87" s="139" t="s">
        <v>423</v>
      </c>
      <c r="C87" s="141">
        <v>45897</v>
      </c>
      <c r="D87" s="139" t="s">
        <v>19</v>
      </c>
      <c r="E87" s="139">
        <v>77.400000000000006</v>
      </c>
      <c r="F87" s="139">
        <v>178.5</v>
      </c>
      <c r="G87">
        <f t="shared" si="1"/>
        <v>24.292069769084108</v>
      </c>
      <c r="H87" s="139">
        <v>86.2</v>
      </c>
      <c r="I87" s="139">
        <v>122</v>
      </c>
      <c r="J87" s="43">
        <v>74</v>
      </c>
    </row>
    <row r="88" spans="1:10" x14ac:dyDescent="0.2">
      <c r="A88">
        <v>2025</v>
      </c>
      <c r="B88" s="139" t="s">
        <v>424</v>
      </c>
      <c r="C88" s="141">
        <v>45896</v>
      </c>
      <c r="D88" s="139" t="s">
        <v>19</v>
      </c>
      <c r="E88" s="139">
        <v>71.2</v>
      </c>
      <c r="F88" s="139">
        <v>166.5</v>
      </c>
      <c r="G88">
        <f t="shared" si="1"/>
        <v>25.683340998656313</v>
      </c>
      <c r="H88" s="139">
        <v>92.8</v>
      </c>
      <c r="I88" s="139">
        <v>142</v>
      </c>
      <c r="J88" s="43">
        <v>73</v>
      </c>
    </row>
    <row r="89" spans="1:10" x14ac:dyDescent="0.2">
      <c r="A89">
        <v>2025</v>
      </c>
      <c r="B89" s="139" t="s">
        <v>426</v>
      </c>
      <c r="C89" s="141">
        <v>45897</v>
      </c>
      <c r="D89" s="139" t="s">
        <v>19</v>
      </c>
      <c r="E89" s="139">
        <v>100.7</v>
      </c>
      <c r="F89" s="139">
        <v>182.2</v>
      </c>
      <c r="G89">
        <f t="shared" si="1"/>
        <v>30.334212533482106</v>
      </c>
      <c r="H89" s="139">
        <v>113</v>
      </c>
      <c r="I89" s="139">
        <v>112</v>
      </c>
      <c r="J89" s="43">
        <v>78</v>
      </c>
    </row>
    <row r="90" spans="1:10" x14ac:dyDescent="0.2">
      <c r="A90">
        <v>2025</v>
      </c>
      <c r="B90" s="139" t="s">
        <v>480</v>
      </c>
      <c r="C90" s="141">
        <v>45898</v>
      </c>
      <c r="D90" s="139" t="s">
        <v>524</v>
      </c>
      <c r="E90" s="139">
        <v>72.5</v>
      </c>
      <c r="F90" s="139">
        <v>182.8</v>
      </c>
      <c r="G90">
        <f t="shared" si="1"/>
        <v>21.696297324861501</v>
      </c>
      <c r="H90" s="139">
        <v>84.5</v>
      </c>
      <c r="I90" s="139">
        <v>125</v>
      </c>
      <c r="J90" s="43">
        <v>64</v>
      </c>
    </row>
    <row r="91" spans="1:10" x14ac:dyDescent="0.2">
      <c r="A91">
        <v>2025</v>
      </c>
      <c r="B91" s="139" t="s">
        <v>428</v>
      </c>
      <c r="C91" s="141">
        <v>45901</v>
      </c>
      <c r="D91" s="139" t="s">
        <v>524</v>
      </c>
      <c r="E91" s="139">
        <v>69.900000000000006</v>
      </c>
      <c r="F91" s="139">
        <v>182.9</v>
      </c>
      <c r="G91">
        <f t="shared" si="1"/>
        <v>20.895355521470655</v>
      </c>
      <c r="H91" s="139">
        <v>82.8</v>
      </c>
      <c r="I91" s="139">
        <v>119</v>
      </c>
      <c r="J91" s="43">
        <v>70</v>
      </c>
    </row>
    <row r="92" spans="1:10" x14ac:dyDescent="0.2">
      <c r="A92">
        <v>2025</v>
      </c>
      <c r="B92" s="139" t="s">
        <v>482</v>
      </c>
      <c r="C92" s="141">
        <v>45903</v>
      </c>
      <c r="D92" s="139" t="s">
        <v>100</v>
      </c>
      <c r="E92" s="139">
        <v>83.5</v>
      </c>
      <c r="F92" s="139">
        <v>169.6</v>
      </c>
      <c r="G92">
        <f t="shared" si="1"/>
        <v>29.029180758276969</v>
      </c>
      <c r="H92" s="139">
        <v>105.8</v>
      </c>
      <c r="I92" s="139">
        <v>122</v>
      </c>
      <c r="J92" s="43">
        <v>73</v>
      </c>
    </row>
    <row r="93" spans="1:10" x14ac:dyDescent="0.2">
      <c r="A93">
        <v>2025</v>
      </c>
      <c r="B93" s="139" t="s">
        <v>523</v>
      </c>
      <c r="C93" s="141">
        <v>45905</v>
      </c>
      <c r="D93" s="139" t="s">
        <v>100</v>
      </c>
      <c r="E93" s="139">
        <v>82</v>
      </c>
      <c r="F93" s="139">
        <v>189.1</v>
      </c>
      <c r="G93">
        <f t="shared" si="1"/>
        <v>22.931411867453086</v>
      </c>
      <c r="H93" s="139">
        <v>86.3</v>
      </c>
      <c r="I93" s="139">
        <v>106</v>
      </c>
      <c r="J93" s="43">
        <v>70</v>
      </c>
    </row>
    <row r="94" spans="1:10" x14ac:dyDescent="0.2">
      <c r="A94">
        <v>2025</v>
      </c>
      <c r="B94" s="139" t="s">
        <v>430</v>
      </c>
      <c r="C94" s="141">
        <v>45894</v>
      </c>
      <c r="D94" s="139" t="s">
        <v>19</v>
      </c>
      <c r="E94" s="139">
        <v>70.599999999999994</v>
      </c>
      <c r="F94" s="139">
        <v>170.2</v>
      </c>
      <c r="G94">
        <f t="shared" si="1"/>
        <v>24.37168686593915</v>
      </c>
      <c r="H94" s="139">
        <v>83.6</v>
      </c>
      <c r="I94" s="139">
        <v>158</v>
      </c>
      <c r="J94" s="43">
        <v>71</v>
      </c>
    </row>
    <row r="95" spans="1:10" x14ac:dyDescent="0.2">
      <c r="A95">
        <v>2025</v>
      </c>
      <c r="B95" s="139" t="s">
        <v>432</v>
      </c>
      <c r="C95" s="141">
        <v>45894</v>
      </c>
      <c r="D95" s="139" t="s">
        <v>19</v>
      </c>
      <c r="E95" s="139">
        <v>122.4</v>
      </c>
      <c r="F95" s="139">
        <v>176</v>
      </c>
      <c r="G95">
        <f t="shared" si="1"/>
        <v>39.514462809917362</v>
      </c>
      <c r="H95" s="139">
        <v>119</v>
      </c>
      <c r="I95" s="139">
        <v>123</v>
      </c>
      <c r="J95" s="43">
        <v>71</v>
      </c>
    </row>
    <row r="96" spans="1:10" x14ac:dyDescent="0.2">
      <c r="A96">
        <v>2025</v>
      </c>
      <c r="B96" s="139" t="s">
        <v>434</v>
      </c>
      <c r="C96" s="141">
        <v>45895</v>
      </c>
      <c r="D96" s="139" t="s">
        <v>19</v>
      </c>
      <c r="E96" s="139">
        <v>90.7</v>
      </c>
      <c r="F96" s="139">
        <v>162.6</v>
      </c>
      <c r="G96">
        <f t="shared" si="1"/>
        <v>34.305693610441644</v>
      </c>
      <c r="H96" s="139">
        <v>116</v>
      </c>
      <c r="I96" s="139">
        <v>154</v>
      </c>
      <c r="J96" s="43">
        <v>110</v>
      </c>
    </row>
    <row r="97" spans="1:10" x14ac:dyDescent="0.2">
      <c r="A97">
        <v>2025</v>
      </c>
      <c r="B97" s="139" t="s">
        <v>436</v>
      </c>
      <c r="C97" s="141">
        <v>45896</v>
      </c>
      <c r="D97" s="139" t="s">
        <v>19</v>
      </c>
      <c r="E97" s="139">
        <v>73.099999999999994</v>
      </c>
      <c r="F97" s="139">
        <v>171.5</v>
      </c>
      <c r="G97">
        <f t="shared" si="1"/>
        <v>24.853589915766385</v>
      </c>
      <c r="H97" s="139">
        <v>83</v>
      </c>
      <c r="I97" s="139">
        <v>125</v>
      </c>
      <c r="J97" s="43">
        <v>72</v>
      </c>
    </row>
    <row r="98" spans="1:10" x14ac:dyDescent="0.2">
      <c r="A98">
        <v>2025</v>
      </c>
      <c r="B98" s="139" t="s">
        <v>438</v>
      </c>
      <c r="C98" s="141">
        <v>45896</v>
      </c>
      <c r="D98" s="139" t="s">
        <v>19</v>
      </c>
      <c r="E98" s="139">
        <v>69.3</v>
      </c>
      <c r="F98" s="139">
        <v>173.9</v>
      </c>
      <c r="G98">
        <f t="shared" si="1"/>
        <v>22.915749733558936</v>
      </c>
      <c r="H98" s="139">
        <v>91.5</v>
      </c>
      <c r="I98" s="139">
        <v>141</v>
      </c>
      <c r="J98" s="43">
        <v>80</v>
      </c>
    </row>
    <row r="99" spans="1:10" x14ac:dyDescent="0.2">
      <c r="A99">
        <v>2025</v>
      </c>
      <c r="B99" s="139" t="s">
        <v>440</v>
      </c>
      <c r="C99" s="141">
        <v>45896</v>
      </c>
      <c r="D99" s="139" t="s">
        <v>19</v>
      </c>
      <c r="E99" s="139">
        <v>72.7</v>
      </c>
      <c r="F99" s="139">
        <v>167</v>
      </c>
      <c r="G99">
        <f t="shared" si="1"/>
        <v>26.067625228584749</v>
      </c>
      <c r="H99" s="139">
        <v>92</v>
      </c>
      <c r="I99" s="139">
        <v>141</v>
      </c>
      <c r="J99" s="43">
        <v>72</v>
      </c>
    </row>
    <row r="100" spans="1:10" x14ac:dyDescent="0.2">
      <c r="A100">
        <v>2025</v>
      </c>
      <c r="B100" s="139" t="s">
        <v>442</v>
      </c>
      <c r="C100" s="141">
        <v>45901</v>
      </c>
      <c r="D100" s="139" t="s">
        <v>524</v>
      </c>
      <c r="E100" s="139">
        <v>67.2</v>
      </c>
      <c r="F100" s="139">
        <v>177</v>
      </c>
      <c r="G100">
        <f t="shared" si="1"/>
        <v>21.449774968878675</v>
      </c>
      <c r="H100" s="139">
        <v>86</v>
      </c>
      <c r="I100" s="139">
        <v>145</v>
      </c>
      <c r="J100" s="43">
        <v>90</v>
      </c>
    </row>
    <row r="101" spans="1:10" x14ac:dyDescent="0.2">
      <c r="A101">
        <v>2025</v>
      </c>
      <c r="B101" s="139" t="s">
        <v>444</v>
      </c>
      <c r="C101" s="141">
        <v>45902</v>
      </c>
      <c r="D101" s="139" t="s">
        <v>19</v>
      </c>
      <c r="E101" s="139">
        <v>99.1</v>
      </c>
      <c r="F101" s="139">
        <v>167</v>
      </c>
      <c r="G101">
        <f t="shared" si="1"/>
        <v>35.533722973215248</v>
      </c>
      <c r="H101" s="139">
        <v>120</v>
      </c>
      <c r="I101" s="139">
        <v>154</v>
      </c>
      <c r="J101" s="43">
        <v>87</v>
      </c>
    </row>
    <row r="102" spans="1:10" x14ac:dyDescent="0.2">
      <c r="A102">
        <v>2025</v>
      </c>
      <c r="B102" s="139" t="s">
        <v>445</v>
      </c>
      <c r="C102" s="141">
        <v>45902</v>
      </c>
      <c r="D102" s="139" t="s">
        <v>19</v>
      </c>
      <c r="E102" s="139">
        <v>68.7</v>
      </c>
      <c r="F102" s="139">
        <v>166</v>
      </c>
      <c r="G102">
        <f t="shared" si="1"/>
        <v>24.931049499201627</v>
      </c>
      <c r="H102" s="139">
        <v>84.5</v>
      </c>
      <c r="I102" s="139">
        <v>112</v>
      </c>
      <c r="J102" s="43">
        <v>69</v>
      </c>
    </row>
    <row r="103" spans="1:10" x14ac:dyDescent="0.2">
      <c r="A103">
        <v>2025</v>
      </c>
      <c r="B103" s="139" t="s">
        <v>446</v>
      </c>
      <c r="C103" s="141">
        <v>45904</v>
      </c>
      <c r="D103" s="139" t="s">
        <v>100</v>
      </c>
      <c r="E103" s="139">
        <v>73</v>
      </c>
      <c r="F103" s="139">
        <v>157.5</v>
      </c>
      <c r="G103">
        <f t="shared" si="1"/>
        <v>29.428067523305621</v>
      </c>
      <c r="H103" s="139">
        <v>97.5</v>
      </c>
      <c r="I103" s="139">
        <v>124</v>
      </c>
      <c r="J103" s="43">
        <v>78</v>
      </c>
    </row>
    <row r="104" spans="1:10" x14ac:dyDescent="0.2">
      <c r="A104">
        <v>2025</v>
      </c>
      <c r="B104" s="139" t="s">
        <v>447</v>
      </c>
      <c r="C104" s="141">
        <v>45895</v>
      </c>
      <c r="D104" s="139" t="s">
        <v>19</v>
      </c>
      <c r="E104" s="139">
        <v>86.8</v>
      </c>
      <c r="F104" s="139">
        <v>171.1</v>
      </c>
      <c r="G104">
        <f t="shared" si="1"/>
        <v>29.649659216791274</v>
      </c>
      <c r="H104" s="139">
        <v>103</v>
      </c>
      <c r="I104" s="139">
        <v>143</v>
      </c>
      <c r="J104" s="43">
        <v>91</v>
      </c>
    </row>
    <row r="105" spans="1:10" x14ac:dyDescent="0.2">
      <c r="A105">
        <v>2025</v>
      </c>
      <c r="B105" s="139" t="s">
        <v>449</v>
      </c>
      <c r="C105" s="141">
        <v>45897</v>
      </c>
      <c r="D105" s="139" t="s">
        <v>19</v>
      </c>
      <c r="E105" s="139">
        <v>75.400000000000006</v>
      </c>
      <c r="F105" s="139">
        <v>180.6</v>
      </c>
      <c r="G105">
        <f t="shared" si="1"/>
        <v>23.117233192177178</v>
      </c>
      <c r="H105" s="139">
        <v>85</v>
      </c>
      <c r="I105" s="139">
        <v>130</v>
      </c>
      <c r="J105" s="43">
        <v>85</v>
      </c>
    </row>
    <row r="106" spans="1:10" x14ac:dyDescent="0.2">
      <c r="A106">
        <v>2025</v>
      </c>
      <c r="B106" s="139" t="s">
        <v>451</v>
      </c>
      <c r="C106" s="141">
        <v>45898</v>
      </c>
      <c r="D106" s="139" t="s">
        <v>524</v>
      </c>
      <c r="E106" s="139">
        <v>66.599999999999994</v>
      </c>
      <c r="F106" s="139">
        <v>167.5</v>
      </c>
      <c r="G106">
        <f t="shared" si="1"/>
        <v>23.738026286478057</v>
      </c>
      <c r="H106" s="139">
        <v>85.1</v>
      </c>
      <c r="I106" s="139">
        <v>106</v>
      </c>
      <c r="J106" s="43">
        <v>68</v>
      </c>
    </row>
    <row r="107" spans="1:10" x14ac:dyDescent="0.2">
      <c r="A107">
        <v>2025</v>
      </c>
      <c r="B107" s="139" t="s">
        <v>452</v>
      </c>
      <c r="C107" s="141">
        <v>45898</v>
      </c>
      <c r="D107" s="139" t="s">
        <v>524</v>
      </c>
      <c r="E107" s="139">
        <v>87.3</v>
      </c>
      <c r="F107" s="139">
        <v>164.7</v>
      </c>
      <c r="G107">
        <f t="shared" si="1"/>
        <v>32.183038543335961</v>
      </c>
      <c r="H107" s="139">
        <v>120.5</v>
      </c>
      <c r="I107" s="139">
        <v>139</v>
      </c>
      <c r="J107" s="43">
        <v>82</v>
      </c>
    </row>
    <row r="108" spans="1:10" x14ac:dyDescent="0.2">
      <c r="A108">
        <v>2025</v>
      </c>
      <c r="B108" s="139" t="s">
        <v>453</v>
      </c>
      <c r="C108" s="141">
        <v>45895</v>
      </c>
      <c r="D108" s="139" t="s">
        <v>19</v>
      </c>
      <c r="E108" s="139">
        <v>112.7</v>
      </c>
      <c r="F108" s="139">
        <v>173.3</v>
      </c>
      <c r="G108">
        <f t="shared" si="1"/>
        <v>37.52552618146305</v>
      </c>
      <c r="H108" s="139">
        <v>118</v>
      </c>
      <c r="I108" s="139">
        <v>119</v>
      </c>
      <c r="J108" s="43">
        <v>78</v>
      </c>
    </row>
    <row r="109" spans="1:10" x14ac:dyDescent="0.2">
      <c r="A109">
        <v>2025</v>
      </c>
      <c r="B109" s="139" t="s">
        <v>454</v>
      </c>
      <c r="C109" s="141">
        <v>45895</v>
      </c>
      <c r="D109" s="139" t="s">
        <v>19</v>
      </c>
      <c r="E109" s="139">
        <v>84.5</v>
      </c>
      <c r="F109" s="139">
        <v>166.9</v>
      </c>
      <c r="G109">
        <f t="shared" si="1"/>
        <v>30.335002536293409</v>
      </c>
      <c r="H109" s="139">
        <v>90.5</v>
      </c>
      <c r="I109" s="139">
        <v>123</v>
      </c>
      <c r="J109" s="43">
        <v>74</v>
      </c>
    </row>
    <row r="110" spans="1:10" x14ac:dyDescent="0.2">
      <c r="A110">
        <v>2025</v>
      </c>
      <c r="B110" s="139" t="s">
        <v>455</v>
      </c>
      <c r="C110" s="141">
        <v>45895</v>
      </c>
      <c r="D110" s="139" t="s">
        <v>19</v>
      </c>
      <c r="E110" s="139">
        <v>101.5</v>
      </c>
      <c r="F110" s="139">
        <v>181.9</v>
      </c>
      <c r="G110">
        <f t="shared" si="1"/>
        <v>30.676135266342904</v>
      </c>
      <c r="H110" s="139">
        <v>116</v>
      </c>
      <c r="I110" s="139">
        <v>133</v>
      </c>
      <c r="J110" s="43">
        <v>75</v>
      </c>
    </row>
    <row r="111" spans="1:10" x14ac:dyDescent="0.2">
      <c r="A111">
        <v>2025</v>
      </c>
      <c r="B111" s="139" t="s">
        <v>456</v>
      </c>
      <c r="C111" s="141">
        <v>45897</v>
      </c>
      <c r="D111" s="139" t="s">
        <v>19</v>
      </c>
      <c r="E111" s="139">
        <v>122.3</v>
      </c>
      <c r="F111" s="139">
        <v>182.9</v>
      </c>
      <c r="G111">
        <f t="shared" si="1"/>
        <v>36.559398859454376</v>
      </c>
      <c r="H111" s="139" t="s">
        <v>525</v>
      </c>
      <c r="I111" s="139">
        <v>128</v>
      </c>
      <c r="J111" s="43">
        <v>75</v>
      </c>
    </row>
    <row r="112" spans="1:10" x14ac:dyDescent="0.2">
      <c r="A112">
        <v>2025</v>
      </c>
      <c r="B112" s="139" t="s">
        <v>457</v>
      </c>
      <c r="C112" s="141">
        <v>45898</v>
      </c>
      <c r="D112" s="139" t="s">
        <v>524</v>
      </c>
      <c r="E112" s="139">
        <v>91.9</v>
      </c>
      <c r="F112" s="139">
        <v>168.8</v>
      </c>
      <c r="G112">
        <f t="shared" ref="G112:G157" si="2">E112/((F112/100)*(F112/100))</f>
        <v>32.253037892230623</v>
      </c>
      <c r="H112" s="139">
        <v>112</v>
      </c>
      <c r="I112" s="139">
        <v>117</v>
      </c>
      <c r="J112" s="43">
        <v>83</v>
      </c>
    </row>
    <row r="113" spans="1:10" x14ac:dyDescent="0.2">
      <c r="A113">
        <v>2025</v>
      </c>
      <c r="B113" s="139" t="s">
        <v>458</v>
      </c>
      <c r="C113" s="141">
        <v>45902</v>
      </c>
      <c r="D113" s="139" t="s">
        <v>19</v>
      </c>
      <c r="E113" s="139">
        <v>97.1</v>
      </c>
      <c r="F113" s="139">
        <v>162.19999999999999</v>
      </c>
      <c r="G113">
        <f t="shared" si="2"/>
        <v>36.907746597721527</v>
      </c>
      <c r="H113" s="139">
        <v>120.8</v>
      </c>
      <c r="I113" s="139">
        <v>118</v>
      </c>
      <c r="J113" s="43">
        <v>70</v>
      </c>
    </row>
    <row r="114" spans="1:10" x14ac:dyDescent="0.2">
      <c r="A114">
        <v>2025</v>
      </c>
      <c r="B114" s="139" t="s">
        <v>459</v>
      </c>
      <c r="C114" s="141">
        <v>45903</v>
      </c>
      <c r="D114" s="139" t="s">
        <v>100</v>
      </c>
      <c r="E114" s="139">
        <v>92</v>
      </c>
      <c r="F114" s="139">
        <v>176.3</v>
      </c>
      <c r="G114">
        <f t="shared" si="2"/>
        <v>29.599420108752124</v>
      </c>
      <c r="H114" s="139">
        <v>112</v>
      </c>
      <c r="I114" s="139">
        <v>129</v>
      </c>
      <c r="J114" s="43">
        <v>91</v>
      </c>
    </row>
    <row r="115" spans="1:10" x14ac:dyDescent="0.2">
      <c r="A115">
        <v>2025</v>
      </c>
      <c r="B115" s="139" t="s">
        <v>460</v>
      </c>
      <c r="C115" s="141">
        <v>45904</v>
      </c>
      <c r="D115" s="139" t="s">
        <v>100</v>
      </c>
      <c r="E115" s="139">
        <v>76.099999999999994</v>
      </c>
      <c r="F115" s="139">
        <v>164.1</v>
      </c>
      <c r="G115">
        <f t="shared" si="2"/>
        <v>28.259696585181445</v>
      </c>
      <c r="H115" s="139">
        <v>90</v>
      </c>
      <c r="I115" s="139">
        <v>114</v>
      </c>
      <c r="J115" s="43">
        <v>71</v>
      </c>
    </row>
    <row r="116" spans="1:10" x14ac:dyDescent="0.2">
      <c r="A116">
        <v>2025</v>
      </c>
      <c r="B116" s="139" t="s">
        <v>461</v>
      </c>
      <c r="C116" s="141">
        <v>45901</v>
      </c>
      <c r="D116" s="139" t="s">
        <v>524</v>
      </c>
      <c r="E116" s="139">
        <v>63.6</v>
      </c>
      <c r="F116" s="139">
        <v>164.7</v>
      </c>
      <c r="G116">
        <f t="shared" si="2"/>
        <v>23.446062443942353</v>
      </c>
      <c r="H116" s="139">
        <v>68</v>
      </c>
      <c r="I116" s="139">
        <v>129</v>
      </c>
      <c r="J116" s="43">
        <v>78</v>
      </c>
    </row>
    <row r="117" spans="1:10" x14ac:dyDescent="0.2">
      <c r="A117">
        <v>2025</v>
      </c>
      <c r="B117" s="139" t="s">
        <v>463</v>
      </c>
      <c r="C117" s="141">
        <v>45894</v>
      </c>
      <c r="D117" s="139" t="s">
        <v>19</v>
      </c>
      <c r="E117" s="139">
        <v>62.4</v>
      </c>
      <c r="F117" s="139">
        <v>152.5</v>
      </c>
      <c r="G117">
        <f t="shared" si="2"/>
        <v>26.831496909432953</v>
      </c>
      <c r="H117" s="139">
        <v>84</v>
      </c>
      <c r="I117" s="139">
        <v>136</v>
      </c>
      <c r="J117" s="43">
        <v>74</v>
      </c>
    </row>
    <row r="118" spans="1:10" x14ac:dyDescent="0.2">
      <c r="A118">
        <v>2025</v>
      </c>
      <c r="B118" s="139" t="s">
        <v>464</v>
      </c>
      <c r="C118" s="141">
        <v>45894</v>
      </c>
      <c r="D118" s="139" t="s">
        <v>19</v>
      </c>
      <c r="E118" s="139">
        <v>85</v>
      </c>
      <c r="F118" s="139">
        <v>166.1</v>
      </c>
      <c r="G118">
        <f t="shared" si="2"/>
        <v>30.809146039339293</v>
      </c>
      <c r="H118" s="139">
        <v>94</v>
      </c>
      <c r="I118" s="139">
        <v>131</v>
      </c>
      <c r="J118" s="43">
        <v>74</v>
      </c>
    </row>
    <row r="119" spans="1:10" x14ac:dyDescent="0.2">
      <c r="A119">
        <v>2025</v>
      </c>
      <c r="B119" s="139" t="s">
        <v>465</v>
      </c>
      <c r="C119" s="141">
        <v>45895</v>
      </c>
      <c r="D119" s="139" t="s">
        <v>19</v>
      </c>
      <c r="E119" s="139">
        <v>56.8</v>
      </c>
      <c r="F119" s="139">
        <v>173.2</v>
      </c>
      <c r="G119">
        <f t="shared" si="2"/>
        <v>18.934444154057037</v>
      </c>
      <c r="H119" s="139">
        <v>69.5</v>
      </c>
      <c r="I119" s="139">
        <v>103</v>
      </c>
      <c r="J119" s="43">
        <v>58</v>
      </c>
    </row>
    <row r="120" spans="1:10" x14ac:dyDescent="0.2">
      <c r="A120">
        <v>2025</v>
      </c>
      <c r="B120" s="139" t="s">
        <v>466</v>
      </c>
      <c r="C120" s="141">
        <v>45897</v>
      </c>
      <c r="D120" s="139" t="s">
        <v>19</v>
      </c>
      <c r="E120" s="139">
        <v>82.4</v>
      </c>
      <c r="F120" s="139">
        <v>182.8</v>
      </c>
      <c r="G120">
        <f t="shared" si="2"/>
        <v>24.658964131980522</v>
      </c>
      <c r="H120" s="139">
        <v>105</v>
      </c>
      <c r="I120" s="139">
        <v>145</v>
      </c>
      <c r="J120" s="43">
        <v>77</v>
      </c>
    </row>
    <row r="121" spans="1:10" x14ac:dyDescent="0.2">
      <c r="A121">
        <v>2025</v>
      </c>
      <c r="B121" s="139" t="s">
        <v>468</v>
      </c>
      <c r="C121" s="141">
        <v>45901</v>
      </c>
      <c r="D121" s="139" t="s">
        <v>524</v>
      </c>
      <c r="E121" s="139">
        <v>77.599999999999994</v>
      </c>
      <c r="F121" s="139">
        <v>168.8</v>
      </c>
      <c r="G121">
        <f t="shared" si="2"/>
        <v>27.234338851328577</v>
      </c>
      <c r="H121" s="139">
        <v>90.2</v>
      </c>
      <c r="I121" s="139">
        <v>139</v>
      </c>
      <c r="J121" s="43">
        <v>88</v>
      </c>
    </row>
    <row r="122" spans="1:10" x14ac:dyDescent="0.2">
      <c r="A122">
        <v>2025</v>
      </c>
      <c r="B122" s="139" t="s">
        <v>469</v>
      </c>
      <c r="C122" s="141">
        <v>45903</v>
      </c>
      <c r="D122" s="139" t="s">
        <v>100</v>
      </c>
      <c r="E122" s="139">
        <v>85.8</v>
      </c>
      <c r="F122" s="139">
        <v>189</v>
      </c>
      <c r="G122">
        <f t="shared" si="2"/>
        <v>24.019484336944654</v>
      </c>
      <c r="H122" s="139">
        <v>100</v>
      </c>
      <c r="I122" s="139">
        <v>129</v>
      </c>
      <c r="J122" s="43">
        <v>74</v>
      </c>
    </row>
    <row r="123" spans="1:10" x14ac:dyDescent="0.2">
      <c r="A123">
        <v>2025</v>
      </c>
      <c r="B123" s="139" t="s">
        <v>470</v>
      </c>
      <c r="C123" s="141">
        <v>45903</v>
      </c>
      <c r="D123" s="139" t="s">
        <v>100</v>
      </c>
      <c r="E123" s="139">
        <v>73.7</v>
      </c>
      <c r="F123" s="139">
        <v>178</v>
      </c>
      <c r="G123">
        <f t="shared" si="2"/>
        <v>23.260951900012625</v>
      </c>
      <c r="H123" s="139">
        <v>95.8</v>
      </c>
      <c r="I123" s="139">
        <v>107</v>
      </c>
      <c r="J123" s="43">
        <v>85</v>
      </c>
    </row>
    <row r="124" spans="1:10" x14ac:dyDescent="0.2">
      <c r="A124">
        <v>2025</v>
      </c>
      <c r="B124" s="139" t="s">
        <v>471</v>
      </c>
      <c r="C124" s="141">
        <v>45908</v>
      </c>
      <c r="D124" s="139" t="s">
        <v>100</v>
      </c>
      <c r="E124" s="139">
        <v>66.7</v>
      </c>
      <c r="F124" s="139">
        <v>168</v>
      </c>
      <c r="G124">
        <f t="shared" si="2"/>
        <v>23.632369614512477</v>
      </c>
      <c r="H124" s="139">
        <v>92</v>
      </c>
      <c r="I124" s="139">
        <v>147</v>
      </c>
      <c r="J124" s="43">
        <v>89</v>
      </c>
    </row>
    <row r="125" spans="1:10" x14ac:dyDescent="0.2">
      <c r="A125">
        <v>2025</v>
      </c>
      <c r="B125" s="139" t="s">
        <v>472</v>
      </c>
      <c r="C125" s="141">
        <v>45909</v>
      </c>
      <c r="D125" s="139" t="s">
        <v>100</v>
      </c>
      <c r="E125" s="139">
        <v>57.8</v>
      </c>
      <c r="F125" s="139">
        <v>167.3</v>
      </c>
      <c r="G125">
        <f t="shared" si="2"/>
        <v>20.650756057048962</v>
      </c>
      <c r="H125" s="139">
        <v>88.4</v>
      </c>
      <c r="I125" s="139">
        <v>102</v>
      </c>
      <c r="J125" s="43">
        <v>62</v>
      </c>
    </row>
    <row r="126" spans="1:10" x14ac:dyDescent="0.2">
      <c r="A126">
        <v>2025</v>
      </c>
      <c r="B126" s="139" t="s">
        <v>473</v>
      </c>
      <c r="C126" s="141">
        <v>45898</v>
      </c>
      <c r="D126" s="139" t="s">
        <v>524</v>
      </c>
      <c r="E126" s="139">
        <v>58</v>
      </c>
      <c r="F126" s="139">
        <v>148.19999999999999</v>
      </c>
      <c r="G126">
        <f t="shared" si="2"/>
        <v>26.407761332116753</v>
      </c>
      <c r="H126" s="139">
        <v>78.2</v>
      </c>
      <c r="I126" s="139">
        <v>104</v>
      </c>
      <c r="J126" s="43">
        <v>61</v>
      </c>
    </row>
    <row r="127" spans="1:10" x14ac:dyDescent="0.2">
      <c r="A127">
        <v>2025</v>
      </c>
      <c r="B127" s="140" t="s">
        <v>413</v>
      </c>
      <c r="C127" s="142">
        <v>45993</v>
      </c>
      <c r="D127" s="140" t="s">
        <v>24</v>
      </c>
      <c r="E127" s="140">
        <v>96.3</v>
      </c>
      <c r="F127" s="140">
        <v>185.3</v>
      </c>
      <c r="G127">
        <f t="shared" si="2"/>
        <v>28.046291817152152</v>
      </c>
      <c r="H127" s="140">
        <v>109.7</v>
      </c>
      <c r="I127" s="140">
        <v>138</v>
      </c>
      <c r="J127" s="43">
        <v>83</v>
      </c>
    </row>
    <row r="128" spans="1:10" x14ac:dyDescent="0.2">
      <c r="A128">
        <v>2025</v>
      </c>
      <c r="B128" s="140" t="s">
        <v>416</v>
      </c>
      <c r="C128" s="142">
        <v>45993</v>
      </c>
      <c r="D128" s="140" t="s">
        <v>24</v>
      </c>
      <c r="E128" s="140">
        <v>93.2</v>
      </c>
      <c r="F128" s="140">
        <v>183.8</v>
      </c>
      <c r="G128">
        <f t="shared" si="2"/>
        <v>27.588297352115475</v>
      </c>
      <c r="H128" s="140">
        <v>100</v>
      </c>
      <c r="I128" s="140">
        <v>128</v>
      </c>
      <c r="J128" s="43">
        <v>82</v>
      </c>
    </row>
    <row r="129" spans="1:10" x14ac:dyDescent="0.2">
      <c r="A129">
        <v>2025</v>
      </c>
      <c r="B129" s="140" t="s">
        <v>477</v>
      </c>
      <c r="C129" s="142">
        <v>46007</v>
      </c>
      <c r="D129" s="140" t="s">
        <v>24</v>
      </c>
      <c r="E129" s="140">
        <v>78.400000000000006</v>
      </c>
      <c r="F129" s="140">
        <v>184.3</v>
      </c>
      <c r="G129">
        <f t="shared" si="2"/>
        <v>23.081572455676163</v>
      </c>
      <c r="H129" s="140">
        <v>91</v>
      </c>
      <c r="I129" s="140">
        <v>123</v>
      </c>
      <c r="J129" s="43">
        <v>77</v>
      </c>
    </row>
    <row r="130" spans="1:10" x14ac:dyDescent="0.2">
      <c r="A130">
        <v>2025</v>
      </c>
      <c r="B130" s="140" t="s">
        <v>422</v>
      </c>
      <c r="C130" s="142">
        <v>46002</v>
      </c>
      <c r="D130" s="140" t="s">
        <v>24</v>
      </c>
      <c r="E130" s="140">
        <v>87.3</v>
      </c>
      <c r="F130" s="140">
        <v>180.3</v>
      </c>
      <c r="G130">
        <f t="shared" si="2"/>
        <v>26.854853668732915</v>
      </c>
      <c r="H130" s="140">
        <v>100</v>
      </c>
      <c r="I130" s="140">
        <v>135</v>
      </c>
      <c r="J130" s="43">
        <v>83</v>
      </c>
    </row>
    <row r="131" spans="1:10" x14ac:dyDescent="0.2">
      <c r="A131">
        <v>2025</v>
      </c>
      <c r="B131" s="140" t="s">
        <v>424</v>
      </c>
      <c r="C131" s="142">
        <v>46002</v>
      </c>
      <c r="D131" s="140" t="s">
        <v>24</v>
      </c>
      <c r="E131" s="140">
        <v>70.3</v>
      </c>
      <c r="F131" s="140">
        <v>166.9</v>
      </c>
      <c r="G131">
        <f t="shared" si="2"/>
        <v>25.237286133744693</v>
      </c>
      <c r="H131" s="140">
        <v>94.3</v>
      </c>
      <c r="I131" s="140">
        <v>134</v>
      </c>
      <c r="J131" s="43">
        <v>76</v>
      </c>
    </row>
    <row r="132" spans="1:10" x14ac:dyDescent="0.2">
      <c r="A132">
        <v>2025</v>
      </c>
      <c r="B132" s="140" t="s">
        <v>480</v>
      </c>
      <c r="C132" s="142">
        <v>45992</v>
      </c>
      <c r="D132" s="140" t="s">
        <v>24</v>
      </c>
      <c r="E132" s="140">
        <v>74.599999999999994</v>
      </c>
      <c r="F132" s="140">
        <v>182.6</v>
      </c>
      <c r="G132">
        <f t="shared" si="2"/>
        <v>22.37367272535327</v>
      </c>
      <c r="H132" s="140">
        <v>87.5</v>
      </c>
      <c r="I132" s="140">
        <v>136</v>
      </c>
      <c r="J132" s="43">
        <v>69</v>
      </c>
    </row>
    <row r="133" spans="1:10" x14ac:dyDescent="0.2">
      <c r="A133">
        <v>2025</v>
      </c>
      <c r="B133" s="140" t="s">
        <v>428</v>
      </c>
      <c r="C133" s="142">
        <v>45993</v>
      </c>
      <c r="D133" s="140" t="s">
        <v>24</v>
      </c>
      <c r="E133" s="140">
        <v>71.900000000000006</v>
      </c>
      <c r="F133" s="140">
        <v>183.3</v>
      </c>
      <c r="G133">
        <f t="shared" si="2"/>
        <v>21.399516472121547</v>
      </c>
      <c r="H133" s="140">
        <v>78.5</v>
      </c>
      <c r="I133" s="140">
        <v>112</v>
      </c>
      <c r="J133" s="43">
        <v>71</v>
      </c>
    </row>
    <row r="134" spans="1:10" x14ac:dyDescent="0.2">
      <c r="A134">
        <v>2025</v>
      </c>
      <c r="B134" s="140" t="s">
        <v>482</v>
      </c>
      <c r="C134" s="142">
        <v>45992</v>
      </c>
      <c r="D134" s="140" t="s">
        <v>24</v>
      </c>
      <c r="E134" s="140">
        <v>82.8</v>
      </c>
      <c r="F134" s="140">
        <v>169.9</v>
      </c>
      <c r="G134">
        <f t="shared" si="2"/>
        <v>28.684255288486352</v>
      </c>
      <c r="H134" s="140">
        <v>104</v>
      </c>
      <c r="I134" s="140">
        <v>123</v>
      </c>
      <c r="J134" s="43">
        <v>72</v>
      </c>
    </row>
    <row r="135" spans="1:10" x14ac:dyDescent="0.2">
      <c r="A135">
        <v>2025</v>
      </c>
      <c r="B135" s="140" t="s">
        <v>523</v>
      </c>
      <c r="C135" s="142">
        <v>45994</v>
      </c>
      <c r="D135" s="140" t="s">
        <v>24</v>
      </c>
      <c r="E135" s="140">
        <v>87</v>
      </c>
      <c r="F135" s="140">
        <v>188.3</v>
      </c>
      <c r="G135">
        <f t="shared" si="2"/>
        <v>24.536838961341505</v>
      </c>
      <c r="H135" s="140">
        <v>90</v>
      </c>
      <c r="I135" s="140">
        <v>103</v>
      </c>
      <c r="J135" s="43">
        <v>67</v>
      </c>
    </row>
    <row r="136" spans="1:10" x14ac:dyDescent="0.2">
      <c r="A136">
        <v>2025</v>
      </c>
      <c r="B136" s="140" t="s">
        <v>430</v>
      </c>
      <c r="C136" s="142">
        <v>45992</v>
      </c>
      <c r="D136" s="140" t="s">
        <v>24</v>
      </c>
      <c r="E136" s="140">
        <v>71.599999999999994</v>
      </c>
      <c r="F136" s="140">
        <v>170.1</v>
      </c>
      <c r="G136">
        <f t="shared" si="2"/>
        <v>24.745965042522627</v>
      </c>
      <c r="H136" s="140">
        <v>84.5</v>
      </c>
      <c r="I136" s="140">
        <v>145</v>
      </c>
      <c r="J136" s="43">
        <v>74</v>
      </c>
    </row>
    <row r="137" spans="1:10" x14ac:dyDescent="0.2">
      <c r="A137">
        <v>2025</v>
      </c>
      <c r="B137" s="140" t="s">
        <v>434</v>
      </c>
      <c r="C137" s="142">
        <v>45993</v>
      </c>
      <c r="D137" s="140" t="s">
        <v>24</v>
      </c>
      <c r="E137" s="140">
        <v>89.4</v>
      </c>
      <c r="F137" s="140">
        <v>162.6</v>
      </c>
      <c r="G137">
        <f t="shared" si="2"/>
        <v>33.813991276444135</v>
      </c>
      <c r="H137" s="140">
        <v>109</v>
      </c>
      <c r="I137" s="140">
        <v>127</v>
      </c>
      <c r="J137" s="43">
        <v>74</v>
      </c>
    </row>
    <row r="138" spans="1:10" x14ac:dyDescent="0.2">
      <c r="A138">
        <v>2025</v>
      </c>
      <c r="B138" s="140" t="s">
        <v>436</v>
      </c>
      <c r="C138" s="142">
        <v>45992</v>
      </c>
      <c r="D138" s="140" t="s">
        <v>24</v>
      </c>
      <c r="E138" s="140">
        <v>74.900000000000006</v>
      </c>
      <c r="F138" s="140">
        <v>171.2</v>
      </c>
      <c r="G138">
        <f t="shared" si="2"/>
        <v>25.554906542056077</v>
      </c>
      <c r="H138" s="140">
        <v>81.7</v>
      </c>
      <c r="I138" s="140">
        <v>134</v>
      </c>
      <c r="J138" s="43">
        <v>61</v>
      </c>
    </row>
    <row r="139" spans="1:10" x14ac:dyDescent="0.2">
      <c r="A139">
        <v>2025</v>
      </c>
      <c r="B139" s="140" t="s">
        <v>438</v>
      </c>
      <c r="C139" s="142">
        <v>45992</v>
      </c>
      <c r="D139" s="140" t="s">
        <v>24</v>
      </c>
      <c r="E139" s="140">
        <v>69</v>
      </c>
      <c r="F139" s="140">
        <v>173.4</v>
      </c>
      <c r="G139">
        <f t="shared" si="2"/>
        <v>22.948320382498615</v>
      </c>
      <c r="H139" s="140">
        <v>81.8</v>
      </c>
      <c r="I139" s="140">
        <v>125</v>
      </c>
      <c r="J139" s="43">
        <v>78</v>
      </c>
    </row>
    <row r="140" spans="1:10" x14ac:dyDescent="0.2">
      <c r="A140">
        <v>2025</v>
      </c>
      <c r="B140" s="140" t="s">
        <v>440</v>
      </c>
      <c r="C140" s="142">
        <v>45993</v>
      </c>
      <c r="D140" s="140" t="s">
        <v>24</v>
      </c>
      <c r="E140" s="140">
        <v>71.900000000000006</v>
      </c>
      <c r="F140" s="140">
        <v>167.2</v>
      </c>
      <c r="G140">
        <f t="shared" si="2"/>
        <v>25.71913417733111</v>
      </c>
      <c r="H140" s="140">
        <v>92.1</v>
      </c>
      <c r="I140" s="140">
        <v>129</v>
      </c>
      <c r="J140" s="43">
        <v>72</v>
      </c>
    </row>
    <row r="141" spans="1:10" x14ac:dyDescent="0.2">
      <c r="A141">
        <v>2025</v>
      </c>
      <c r="B141" s="140" t="s">
        <v>444</v>
      </c>
      <c r="C141" s="142">
        <v>46002</v>
      </c>
      <c r="D141" s="140" t="s">
        <v>24</v>
      </c>
      <c r="E141" s="140">
        <v>102.7</v>
      </c>
      <c r="F141" s="140">
        <v>165.9</v>
      </c>
      <c r="G141">
        <f t="shared" si="2"/>
        <v>37.314503860615979</v>
      </c>
      <c r="H141" s="140">
        <v>122.8</v>
      </c>
      <c r="I141" s="140">
        <v>148</v>
      </c>
      <c r="J141" s="43">
        <v>85</v>
      </c>
    </row>
    <row r="142" spans="1:10" x14ac:dyDescent="0.2">
      <c r="A142">
        <v>2025</v>
      </c>
      <c r="B142" s="140" t="s">
        <v>445</v>
      </c>
      <c r="C142" s="142">
        <v>46001</v>
      </c>
      <c r="D142" s="140" t="s">
        <v>24</v>
      </c>
      <c r="E142" s="140">
        <v>67.8</v>
      </c>
      <c r="F142" s="140">
        <v>166.5</v>
      </c>
      <c r="G142">
        <f t="shared" si="2"/>
        <v>24.456889321754183</v>
      </c>
      <c r="H142" s="140">
        <v>83</v>
      </c>
      <c r="I142" s="140">
        <v>107</v>
      </c>
      <c r="J142" s="43">
        <v>68</v>
      </c>
    </row>
    <row r="143" spans="1:10" x14ac:dyDescent="0.2">
      <c r="A143">
        <v>2025</v>
      </c>
      <c r="B143" s="140" t="s">
        <v>446</v>
      </c>
      <c r="C143" s="142">
        <v>46008</v>
      </c>
      <c r="D143" s="140" t="s">
        <v>24</v>
      </c>
      <c r="E143" s="140">
        <v>74.3</v>
      </c>
      <c r="F143" s="140">
        <v>158.19999999999999</v>
      </c>
      <c r="G143">
        <f t="shared" si="2"/>
        <v>29.687652334016857</v>
      </c>
      <c r="H143" s="140">
        <v>97</v>
      </c>
      <c r="I143" s="140">
        <v>134</v>
      </c>
      <c r="J143" s="43">
        <v>85</v>
      </c>
    </row>
    <row r="144" spans="1:10" x14ac:dyDescent="0.2">
      <c r="A144">
        <v>2025</v>
      </c>
      <c r="B144" s="140" t="s">
        <v>447</v>
      </c>
      <c r="C144" s="142">
        <v>46002</v>
      </c>
      <c r="D144" s="140" t="s">
        <v>24</v>
      </c>
      <c r="E144" s="140">
        <v>86.4</v>
      </c>
      <c r="F144" s="140">
        <v>170</v>
      </c>
      <c r="G144">
        <f t="shared" si="2"/>
        <v>29.896193771626304</v>
      </c>
      <c r="H144" s="140">
        <v>99.8</v>
      </c>
      <c r="I144" s="140">
        <v>133</v>
      </c>
      <c r="J144" s="43">
        <v>83</v>
      </c>
    </row>
    <row r="145" spans="1:10" x14ac:dyDescent="0.2">
      <c r="A145">
        <v>2025</v>
      </c>
      <c r="B145" s="140" t="s">
        <v>449</v>
      </c>
      <c r="C145" s="142">
        <v>45994</v>
      </c>
      <c r="D145" s="140" t="s">
        <v>24</v>
      </c>
      <c r="E145" s="140">
        <v>76.400000000000006</v>
      </c>
      <c r="F145" s="140">
        <v>181.5</v>
      </c>
      <c r="G145">
        <f t="shared" si="2"/>
        <v>23.192101328840625</v>
      </c>
      <c r="H145" s="140">
        <v>83.7</v>
      </c>
      <c r="I145" s="140">
        <v>127</v>
      </c>
      <c r="J145" s="43">
        <v>81</v>
      </c>
    </row>
    <row r="146" spans="1:10" x14ac:dyDescent="0.2">
      <c r="A146">
        <v>2025</v>
      </c>
      <c r="B146" s="140" t="s">
        <v>454</v>
      </c>
      <c r="C146" s="142">
        <v>45995</v>
      </c>
      <c r="D146" s="140" t="s">
        <v>24</v>
      </c>
      <c r="E146" s="140">
        <v>84.5</v>
      </c>
      <c r="F146" s="140">
        <v>167.5</v>
      </c>
      <c r="G146">
        <f t="shared" si="2"/>
        <v>30.118066384495432</v>
      </c>
      <c r="H146" s="140">
        <v>90.8</v>
      </c>
      <c r="I146" s="140">
        <v>141</v>
      </c>
      <c r="J146" s="43">
        <v>96</v>
      </c>
    </row>
    <row r="147" spans="1:10" x14ac:dyDescent="0.2">
      <c r="A147">
        <v>2025</v>
      </c>
      <c r="B147" s="140" t="s">
        <v>456</v>
      </c>
      <c r="C147" s="142">
        <v>45996</v>
      </c>
      <c r="D147" s="140" t="s">
        <v>24</v>
      </c>
      <c r="E147" s="140">
        <v>122.8</v>
      </c>
      <c r="F147" s="140">
        <v>183.3</v>
      </c>
      <c r="G147">
        <f t="shared" si="2"/>
        <v>36.548826464207586</v>
      </c>
      <c r="H147" s="140">
        <v>122</v>
      </c>
      <c r="I147" s="140">
        <v>130</v>
      </c>
      <c r="J147" s="43">
        <v>80</v>
      </c>
    </row>
    <row r="148" spans="1:10" x14ac:dyDescent="0.2">
      <c r="A148">
        <v>2025</v>
      </c>
      <c r="B148" s="140" t="s">
        <v>459</v>
      </c>
      <c r="C148" s="142">
        <v>45996</v>
      </c>
      <c r="D148" s="140" t="s">
        <v>24</v>
      </c>
      <c r="E148" s="140">
        <v>94.5</v>
      </c>
      <c r="F148" s="140">
        <v>175.5</v>
      </c>
      <c r="G148">
        <f t="shared" si="2"/>
        <v>30.681569143107609</v>
      </c>
      <c r="H148" s="140">
        <v>114</v>
      </c>
      <c r="I148" s="140">
        <v>127</v>
      </c>
      <c r="J148" s="43">
        <v>92</v>
      </c>
    </row>
    <row r="149" spans="1:10" x14ac:dyDescent="0.2">
      <c r="A149">
        <v>2025</v>
      </c>
      <c r="B149" s="140" t="s">
        <v>460</v>
      </c>
      <c r="C149" s="142">
        <v>45995</v>
      </c>
      <c r="D149" s="140" t="s">
        <v>24</v>
      </c>
      <c r="E149" s="140">
        <v>77.2</v>
      </c>
      <c r="F149" s="140">
        <v>164</v>
      </c>
      <c r="G149">
        <f t="shared" si="2"/>
        <v>28.703152885187393</v>
      </c>
      <c r="H149" s="140">
        <v>88.2</v>
      </c>
      <c r="I149" s="140">
        <v>115</v>
      </c>
      <c r="J149" s="43">
        <v>70</v>
      </c>
    </row>
    <row r="150" spans="1:10" x14ac:dyDescent="0.2">
      <c r="A150">
        <v>2025</v>
      </c>
      <c r="B150" s="140" t="s">
        <v>461</v>
      </c>
      <c r="C150" s="142">
        <v>45996</v>
      </c>
      <c r="D150" s="140" t="s">
        <v>24</v>
      </c>
      <c r="E150" s="140">
        <v>62.8</v>
      </c>
      <c r="F150" s="140">
        <v>163.80000000000001</v>
      </c>
      <c r="G150">
        <f t="shared" si="2"/>
        <v>23.406250512477616</v>
      </c>
      <c r="H150" s="140">
        <v>81.2</v>
      </c>
      <c r="I150" s="140">
        <v>121</v>
      </c>
      <c r="J150" s="43">
        <v>76</v>
      </c>
    </row>
    <row r="151" spans="1:10" x14ac:dyDescent="0.2">
      <c r="A151">
        <v>2025</v>
      </c>
      <c r="B151" s="140" t="s">
        <v>466</v>
      </c>
      <c r="C151" s="142">
        <v>45993</v>
      </c>
      <c r="D151" s="140" t="s">
        <v>24</v>
      </c>
      <c r="E151" s="140">
        <v>84.6</v>
      </c>
      <c r="F151" s="140">
        <v>183.5</v>
      </c>
      <c r="G151">
        <f t="shared" si="2"/>
        <v>25.124546176747913</v>
      </c>
      <c r="H151" s="140">
        <v>103</v>
      </c>
      <c r="I151" s="140">
        <v>152</v>
      </c>
      <c r="J151" s="43">
        <v>83</v>
      </c>
    </row>
    <row r="152" spans="1:10" x14ac:dyDescent="0.2">
      <c r="A152">
        <v>2025</v>
      </c>
      <c r="B152" s="140" t="s">
        <v>468</v>
      </c>
      <c r="C152" s="142">
        <v>45996</v>
      </c>
      <c r="D152" s="140" t="s">
        <v>24</v>
      </c>
      <c r="E152" s="140">
        <v>77.2</v>
      </c>
      <c r="F152" s="140">
        <v>168.4</v>
      </c>
      <c r="G152">
        <f t="shared" si="2"/>
        <v>27.222820904869636</v>
      </c>
      <c r="H152" s="140">
        <v>89.5</v>
      </c>
      <c r="I152" s="140">
        <v>143</v>
      </c>
      <c r="J152" s="43">
        <v>90</v>
      </c>
    </row>
    <row r="153" spans="1:10" x14ac:dyDescent="0.2">
      <c r="A153">
        <v>2025</v>
      </c>
      <c r="B153" s="140" t="s">
        <v>469</v>
      </c>
      <c r="C153" s="142">
        <v>45993</v>
      </c>
      <c r="D153" s="140" t="s">
        <v>24</v>
      </c>
      <c r="E153" s="140">
        <v>87.9</v>
      </c>
      <c r="F153" s="140">
        <v>188.6</v>
      </c>
      <c r="G153">
        <f t="shared" si="2"/>
        <v>24.711863606256518</v>
      </c>
      <c r="H153" s="140">
        <v>99</v>
      </c>
      <c r="I153" s="140">
        <v>129</v>
      </c>
      <c r="J153" s="43">
        <v>69</v>
      </c>
    </row>
    <row r="154" spans="1:10" x14ac:dyDescent="0.2">
      <c r="A154">
        <v>2025</v>
      </c>
      <c r="B154" s="140" t="s">
        <v>470</v>
      </c>
      <c r="C154" s="142">
        <v>45995</v>
      </c>
      <c r="D154" s="140" t="s">
        <v>24</v>
      </c>
      <c r="E154" s="140">
        <v>74.3</v>
      </c>
      <c r="F154" s="140">
        <v>178.2</v>
      </c>
      <c r="G154">
        <f t="shared" si="2"/>
        <v>23.397713259292015</v>
      </c>
      <c r="H154" s="140">
        <v>95.5</v>
      </c>
      <c r="I154" s="140">
        <v>102</v>
      </c>
      <c r="J154" s="43">
        <v>58</v>
      </c>
    </row>
    <row r="155" spans="1:10" x14ac:dyDescent="0.2">
      <c r="A155">
        <v>2025</v>
      </c>
      <c r="B155" s="140" t="s">
        <v>471</v>
      </c>
      <c r="C155" s="142">
        <v>45994</v>
      </c>
      <c r="D155" s="140" t="s">
        <v>24</v>
      </c>
      <c r="E155" s="140">
        <v>67.099999999999994</v>
      </c>
      <c r="F155" s="140">
        <v>168.1</v>
      </c>
      <c r="G155">
        <f t="shared" si="2"/>
        <v>23.745815728931071</v>
      </c>
      <c r="H155" s="140">
        <v>80</v>
      </c>
      <c r="I155" s="140">
        <v>136</v>
      </c>
      <c r="J155" s="43">
        <v>79</v>
      </c>
    </row>
    <row r="156" spans="1:10" x14ac:dyDescent="0.2">
      <c r="A156">
        <v>2025</v>
      </c>
      <c r="B156" s="140" t="s">
        <v>472</v>
      </c>
      <c r="C156" s="142">
        <v>45996</v>
      </c>
      <c r="D156" s="140" t="s">
        <v>24</v>
      </c>
      <c r="E156" s="140">
        <v>55.9</v>
      </c>
      <c r="F156" s="140">
        <v>166.9</v>
      </c>
      <c r="G156">
        <f t="shared" si="2"/>
        <v>20.067770908624869</v>
      </c>
      <c r="H156" s="140">
        <v>76.8</v>
      </c>
      <c r="I156" s="140">
        <v>97</v>
      </c>
      <c r="J156" s="43">
        <v>64</v>
      </c>
    </row>
    <row r="157" spans="1:10" x14ac:dyDescent="0.2">
      <c r="A157">
        <v>2025</v>
      </c>
      <c r="B157" s="140" t="s">
        <v>473</v>
      </c>
      <c r="C157" s="142">
        <v>45992</v>
      </c>
      <c r="D157" s="140" t="s">
        <v>24</v>
      </c>
      <c r="E157" s="140">
        <v>57.2</v>
      </c>
      <c r="F157" s="140">
        <v>148.30000000000001</v>
      </c>
      <c r="G157">
        <f t="shared" si="2"/>
        <v>26.008405443759322</v>
      </c>
      <c r="H157" s="140">
        <v>72.5</v>
      </c>
      <c r="I157" s="140">
        <v>103</v>
      </c>
      <c r="J157" s="43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A52A-81A1-41E7-8A1A-FB39F3114F82}">
  <dimension ref="A1:AG89"/>
  <sheetViews>
    <sheetView workbookViewId="0">
      <pane ySplit="2" topLeftCell="A64" activePane="bottomLeft" state="frozen"/>
      <selection pane="bottomLeft" activeCell="AF70" sqref="AF70"/>
    </sheetView>
  </sheetViews>
  <sheetFormatPr baseColWidth="10" defaultRowHeight="15" x14ac:dyDescent="0.2"/>
  <cols>
    <col min="2" max="2" width="7.83203125" customWidth="1"/>
    <col min="3" max="3" width="11" customWidth="1"/>
    <col min="4" max="27" width="5.1640625" customWidth="1"/>
    <col min="28" max="28" width="7.5" bestFit="1" customWidth="1"/>
    <col min="29" max="29" width="7.83203125" bestFit="1" customWidth="1"/>
    <col min="30" max="30" width="11.83203125" bestFit="1" customWidth="1"/>
    <col min="31" max="31" width="20.83203125" bestFit="1" customWidth="1"/>
  </cols>
  <sheetData>
    <row r="1" spans="1:31" s="45" customFormat="1" x14ac:dyDescent="0.2">
      <c r="B1" s="44"/>
      <c r="C1" s="44" t="s">
        <v>150</v>
      </c>
      <c r="D1" s="45">
        <v>1</v>
      </c>
      <c r="E1" s="45">
        <v>2</v>
      </c>
      <c r="F1" s="45">
        <v>3</v>
      </c>
      <c r="G1" s="45">
        <v>4</v>
      </c>
      <c r="H1" s="45">
        <v>5</v>
      </c>
      <c r="I1" s="45">
        <v>6</v>
      </c>
      <c r="J1" s="45">
        <v>7</v>
      </c>
      <c r="K1" s="45">
        <v>8</v>
      </c>
      <c r="L1" s="45">
        <v>9</v>
      </c>
      <c r="M1" s="45">
        <v>10</v>
      </c>
      <c r="N1" s="45">
        <v>11</v>
      </c>
      <c r="O1" s="45">
        <v>12</v>
      </c>
      <c r="P1" s="45">
        <v>13</v>
      </c>
      <c r="Q1" s="45">
        <v>14</v>
      </c>
      <c r="R1" s="45">
        <v>15</v>
      </c>
      <c r="S1" s="45">
        <v>16</v>
      </c>
      <c r="T1" s="45">
        <v>17</v>
      </c>
      <c r="U1" s="45">
        <v>18</v>
      </c>
      <c r="V1" s="45">
        <v>19</v>
      </c>
      <c r="W1" s="45">
        <v>20</v>
      </c>
      <c r="X1" s="45">
        <v>21</v>
      </c>
      <c r="Y1" s="45">
        <v>22</v>
      </c>
      <c r="Z1" s="45">
        <v>23</v>
      </c>
      <c r="AA1" s="45">
        <v>24</v>
      </c>
      <c r="AB1" s="45" t="s">
        <v>151</v>
      </c>
      <c r="AC1" s="45" t="s">
        <v>152</v>
      </c>
      <c r="AD1" s="45" t="s">
        <v>153</v>
      </c>
    </row>
    <row r="2" spans="1:31" s="46" customFormat="1" x14ac:dyDescent="0.2">
      <c r="A2" s="46" t="s">
        <v>497</v>
      </c>
      <c r="B2" s="46" t="s">
        <v>82</v>
      </c>
      <c r="C2" s="46" t="s">
        <v>154</v>
      </c>
      <c r="D2" s="46">
        <v>1</v>
      </c>
      <c r="E2" s="46">
        <v>1</v>
      </c>
      <c r="F2" s="46">
        <v>2</v>
      </c>
      <c r="G2" s="46">
        <v>2</v>
      </c>
      <c r="H2" s="46">
        <v>3</v>
      </c>
      <c r="I2" s="46">
        <v>3</v>
      </c>
      <c r="J2" s="46">
        <v>4</v>
      </c>
      <c r="K2" s="46">
        <v>4</v>
      </c>
      <c r="L2" s="46">
        <v>5</v>
      </c>
      <c r="M2" s="46">
        <v>5</v>
      </c>
      <c r="N2" s="46">
        <v>6</v>
      </c>
      <c r="O2" s="46">
        <v>6</v>
      </c>
      <c r="P2" s="46">
        <v>7</v>
      </c>
      <c r="Q2" s="46">
        <v>7</v>
      </c>
      <c r="R2" s="46">
        <v>8</v>
      </c>
      <c r="S2" s="46">
        <v>8</v>
      </c>
      <c r="T2" s="46">
        <v>9</v>
      </c>
      <c r="U2" s="46">
        <v>9</v>
      </c>
      <c r="V2" s="46">
        <v>10</v>
      </c>
      <c r="W2" s="46">
        <v>10</v>
      </c>
      <c r="X2" s="46">
        <v>11</v>
      </c>
      <c r="Y2" s="46">
        <v>11</v>
      </c>
      <c r="Z2" s="46">
        <v>12</v>
      </c>
      <c r="AA2" s="46">
        <v>12</v>
      </c>
    </row>
    <row r="3" spans="1:31" x14ac:dyDescent="0.2">
      <c r="A3">
        <v>2024</v>
      </c>
      <c r="B3" t="s">
        <v>23</v>
      </c>
      <c r="C3" t="s">
        <v>155</v>
      </c>
      <c r="D3" t="s">
        <v>156</v>
      </c>
      <c r="E3" t="s">
        <v>156</v>
      </c>
      <c r="F3" t="s">
        <v>156</v>
      </c>
      <c r="G3" t="s">
        <v>156</v>
      </c>
      <c r="H3" t="s">
        <v>156</v>
      </c>
      <c r="I3" t="s">
        <v>156</v>
      </c>
      <c r="J3" t="s">
        <v>156</v>
      </c>
      <c r="K3" t="s">
        <v>156</v>
      </c>
      <c r="L3" t="s">
        <v>156</v>
      </c>
      <c r="M3" t="s">
        <v>156</v>
      </c>
      <c r="N3" t="s">
        <v>156</v>
      </c>
      <c r="O3" t="s">
        <v>156</v>
      </c>
      <c r="P3" t="s">
        <v>156</v>
      </c>
      <c r="Q3" t="s">
        <v>156</v>
      </c>
      <c r="R3" t="s">
        <v>156</v>
      </c>
      <c r="S3" t="s">
        <v>156</v>
      </c>
      <c r="T3" t="s">
        <v>156</v>
      </c>
      <c r="U3" t="s">
        <v>156</v>
      </c>
      <c r="V3" t="s">
        <v>156</v>
      </c>
      <c r="W3" t="s">
        <v>156</v>
      </c>
      <c r="X3" t="s">
        <v>156</v>
      </c>
      <c r="Y3" t="s">
        <v>156</v>
      </c>
      <c r="Z3" t="s">
        <v>156</v>
      </c>
      <c r="AA3" t="s">
        <v>156</v>
      </c>
      <c r="AB3">
        <f>COUNTIF(D3:AA3,"yes")</f>
        <v>24</v>
      </c>
      <c r="AC3">
        <f t="shared" ref="AC3:AC26" si="0">COUNTIF(C3:AA3,"no")</f>
        <v>0</v>
      </c>
      <c r="AD3">
        <f>AB3/24*100</f>
        <v>100</v>
      </c>
    </row>
    <row r="4" spans="1:31" x14ac:dyDescent="0.2">
      <c r="A4">
        <v>2024</v>
      </c>
      <c r="B4" t="s">
        <v>27</v>
      </c>
      <c r="C4" t="s">
        <v>155</v>
      </c>
      <c r="D4" t="s">
        <v>156</v>
      </c>
      <c r="E4" t="s">
        <v>156</v>
      </c>
      <c r="F4" s="47" t="s">
        <v>156</v>
      </c>
      <c r="G4" t="s">
        <v>156</v>
      </c>
      <c r="H4" t="s">
        <v>156</v>
      </c>
      <c r="I4" t="s">
        <v>156</v>
      </c>
      <c r="J4" t="s">
        <v>156</v>
      </c>
      <c r="K4" t="s">
        <v>156</v>
      </c>
      <c r="L4" t="s">
        <v>156</v>
      </c>
      <c r="M4" t="s">
        <v>156</v>
      </c>
      <c r="N4" t="s">
        <v>156</v>
      </c>
      <c r="O4" t="s">
        <v>156</v>
      </c>
      <c r="P4" t="s">
        <v>156</v>
      </c>
      <c r="Q4" t="s">
        <v>156</v>
      </c>
      <c r="R4" t="s">
        <v>156</v>
      </c>
      <c r="S4" t="s">
        <v>156</v>
      </c>
      <c r="T4" t="s">
        <v>156</v>
      </c>
      <c r="U4" t="s">
        <v>156</v>
      </c>
      <c r="V4" t="s">
        <v>156</v>
      </c>
      <c r="W4" t="s">
        <v>156</v>
      </c>
      <c r="X4" t="s">
        <v>156</v>
      </c>
      <c r="Y4" t="s">
        <v>156</v>
      </c>
      <c r="Z4" t="s">
        <v>156</v>
      </c>
      <c r="AA4" t="s">
        <v>156</v>
      </c>
      <c r="AB4">
        <f t="shared" ref="AB4:AB26" si="1">COUNTIF(C4:AA4,"yes")</f>
        <v>24</v>
      </c>
      <c r="AC4">
        <f t="shared" si="0"/>
        <v>0</v>
      </c>
      <c r="AD4">
        <f t="shared" ref="AD4:AD47" si="2">AB4/24*100</f>
        <v>100</v>
      </c>
    </row>
    <row r="5" spans="1:31" x14ac:dyDescent="0.2">
      <c r="A5">
        <v>2024</v>
      </c>
      <c r="B5" t="s">
        <v>29</v>
      </c>
      <c r="C5" t="s">
        <v>155</v>
      </c>
      <c r="AB5">
        <f t="shared" si="1"/>
        <v>0</v>
      </c>
      <c r="AC5">
        <f t="shared" si="0"/>
        <v>0</v>
      </c>
    </row>
    <row r="6" spans="1:31" x14ac:dyDescent="0.2">
      <c r="A6">
        <v>2024</v>
      </c>
      <c r="B6">
        <v>16</v>
      </c>
      <c r="C6" t="s">
        <v>155</v>
      </c>
      <c r="AB6">
        <f t="shared" si="1"/>
        <v>0</v>
      </c>
      <c r="AC6">
        <f t="shared" si="0"/>
        <v>0</v>
      </c>
    </row>
    <row r="7" spans="1:31" x14ac:dyDescent="0.2">
      <c r="A7">
        <v>2024</v>
      </c>
      <c r="B7" t="s">
        <v>34</v>
      </c>
      <c r="C7" t="s">
        <v>155</v>
      </c>
      <c r="D7" t="s">
        <v>156</v>
      </c>
      <c r="E7" t="s">
        <v>156</v>
      </c>
      <c r="F7" t="s">
        <v>157</v>
      </c>
      <c r="G7" t="s">
        <v>156</v>
      </c>
      <c r="H7" t="s">
        <v>157</v>
      </c>
      <c r="I7" t="s">
        <v>157</v>
      </c>
      <c r="J7" t="s">
        <v>156</v>
      </c>
      <c r="K7" t="s">
        <v>157</v>
      </c>
      <c r="L7" t="s">
        <v>156</v>
      </c>
      <c r="M7" t="s">
        <v>156</v>
      </c>
      <c r="N7" t="s">
        <v>156</v>
      </c>
      <c r="O7" t="s">
        <v>156</v>
      </c>
      <c r="P7" t="s">
        <v>156</v>
      </c>
      <c r="Q7" t="s">
        <v>156</v>
      </c>
      <c r="R7" t="s">
        <v>156</v>
      </c>
      <c r="S7" t="s">
        <v>156</v>
      </c>
      <c r="T7" t="s">
        <v>156</v>
      </c>
      <c r="U7" t="s">
        <v>157</v>
      </c>
      <c r="V7" t="s">
        <v>156</v>
      </c>
      <c r="W7" t="s">
        <v>156</v>
      </c>
      <c r="X7" t="s">
        <v>156</v>
      </c>
      <c r="Y7" t="s">
        <v>156</v>
      </c>
      <c r="Z7" t="s">
        <v>156</v>
      </c>
      <c r="AA7" t="s">
        <v>157</v>
      </c>
      <c r="AB7">
        <f t="shared" si="1"/>
        <v>18</v>
      </c>
      <c r="AC7">
        <f t="shared" si="0"/>
        <v>6</v>
      </c>
      <c r="AD7">
        <f t="shared" si="2"/>
        <v>75</v>
      </c>
    </row>
    <row r="8" spans="1:31" x14ac:dyDescent="0.2">
      <c r="A8">
        <v>2024</v>
      </c>
      <c r="B8" t="s">
        <v>39</v>
      </c>
      <c r="C8" t="s">
        <v>155</v>
      </c>
      <c r="D8" t="s">
        <v>156</v>
      </c>
      <c r="E8" t="s">
        <v>156</v>
      </c>
      <c r="F8" t="s">
        <v>156</v>
      </c>
      <c r="G8" t="s">
        <v>156</v>
      </c>
      <c r="H8" t="s">
        <v>156</v>
      </c>
      <c r="I8" t="s">
        <v>156</v>
      </c>
      <c r="J8" t="s">
        <v>156</v>
      </c>
      <c r="K8" t="s">
        <v>156</v>
      </c>
      <c r="L8" t="s">
        <v>156</v>
      </c>
      <c r="M8" t="s">
        <v>156</v>
      </c>
      <c r="N8" t="s">
        <v>156</v>
      </c>
      <c r="O8" t="s">
        <v>156</v>
      </c>
      <c r="P8" t="s">
        <v>157</v>
      </c>
      <c r="Q8" t="s">
        <v>157</v>
      </c>
      <c r="R8" t="s">
        <v>156</v>
      </c>
      <c r="S8" t="s">
        <v>156</v>
      </c>
      <c r="T8" t="s">
        <v>156</v>
      </c>
      <c r="U8" t="s">
        <v>156</v>
      </c>
      <c r="V8" t="s">
        <v>156</v>
      </c>
      <c r="W8" t="s">
        <v>156</v>
      </c>
      <c r="X8" t="s">
        <v>157</v>
      </c>
      <c r="Y8" t="s">
        <v>157</v>
      </c>
      <c r="Z8" t="s">
        <v>157</v>
      </c>
      <c r="AA8" t="s">
        <v>157</v>
      </c>
      <c r="AB8">
        <f t="shared" si="1"/>
        <v>18</v>
      </c>
      <c r="AC8">
        <f t="shared" si="0"/>
        <v>6</v>
      </c>
      <c r="AD8">
        <f t="shared" si="2"/>
        <v>75</v>
      </c>
    </row>
    <row r="9" spans="1:31" x14ac:dyDescent="0.2">
      <c r="A9">
        <v>2024</v>
      </c>
      <c r="B9" t="s">
        <v>43</v>
      </c>
      <c r="C9" t="s">
        <v>155</v>
      </c>
      <c r="D9" t="s">
        <v>156</v>
      </c>
      <c r="E9" t="s">
        <v>156</v>
      </c>
      <c r="F9" t="s">
        <v>156</v>
      </c>
      <c r="G9" t="s">
        <v>156</v>
      </c>
      <c r="H9" t="s">
        <v>156</v>
      </c>
      <c r="I9" t="s">
        <v>157</v>
      </c>
      <c r="J9" t="s">
        <v>156</v>
      </c>
      <c r="K9" t="s">
        <v>156</v>
      </c>
      <c r="L9" t="s">
        <v>156</v>
      </c>
      <c r="M9" t="s">
        <v>156</v>
      </c>
      <c r="N9" t="s">
        <v>156</v>
      </c>
      <c r="O9" t="s">
        <v>156</v>
      </c>
      <c r="P9" t="s">
        <v>157</v>
      </c>
      <c r="Q9" t="s">
        <v>156</v>
      </c>
      <c r="R9" t="s">
        <v>156</v>
      </c>
      <c r="S9" t="s">
        <v>156</v>
      </c>
      <c r="T9" t="s">
        <v>156</v>
      </c>
      <c r="U9" t="s">
        <v>156</v>
      </c>
      <c r="V9" t="s">
        <v>156</v>
      </c>
      <c r="W9" t="s">
        <v>156</v>
      </c>
      <c r="X9" t="s">
        <v>156</v>
      </c>
      <c r="Y9" t="s">
        <v>156</v>
      </c>
      <c r="Z9" t="s">
        <v>156</v>
      </c>
      <c r="AA9" t="s">
        <v>156</v>
      </c>
      <c r="AB9">
        <f t="shared" si="1"/>
        <v>22</v>
      </c>
      <c r="AC9">
        <f t="shared" si="0"/>
        <v>2</v>
      </c>
      <c r="AD9">
        <f t="shared" si="2"/>
        <v>91.666666666666657</v>
      </c>
    </row>
    <row r="10" spans="1:31" x14ac:dyDescent="0.2">
      <c r="A10">
        <v>2024</v>
      </c>
      <c r="B10" t="s">
        <v>44</v>
      </c>
      <c r="C10" t="s">
        <v>155</v>
      </c>
      <c r="D10" t="s">
        <v>156</v>
      </c>
      <c r="E10" t="s">
        <v>156</v>
      </c>
      <c r="F10" t="s">
        <v>156</v>
      </c>
      <c r="G10" t="s">
        <v>156</v>
      </c>
      <c r="H10" t="s">
        <v>156</v>
      </c>
      <c r="I10" t="s">
        <v>156</v>
      </c>
      <c r="J10" t="s">
        <v>156</v>
      </c>
      <c r="K10" t="s">
        <v>156</v>
      </c>
      <c r="L10" t="s">
        <v>156</v>
      </c>
      <c r="M10" t="s">
        <v>156</v>
      </c>
      <c r="N10" t="s">
        <v>156</v>
      </c>
      <c r="O10" t="s">
        <v>156</v>
      </c>
      <c r="P10" t="s">
        <v>156</v>
      </c>
      <c r="Q10" t="s">
        <v>156</v>
      </c>
      <c r="R10" t="s">
        <v>157</v>
      </c>
      <c r="S10" t="s">
        <v>156</v>
      </c>
      <c r="T10" t="s">
        <v>156</v>
      </c>
      <c r="U10" t="s">
        <v>156</v>
      </c>
      <c r="V10" t="s">
        <v>156</v>
      </c>
      <c r="W10" t="s">
        <v>156</v>
      </c>
      <c r="X10" t="s">
        <v>156</v>
      </c>
      <c r="Y10" t="s">
        <v>156</v>
      </c>
      <c r="Z10" t="s">
        <v>156</v>
      </c>
      <c r="AA10" t="s">
        <v>156</v>
      </c>
      <c r="AB10">
        <f t="shared" si="1"/>
        <v>23</v>
      </c>
      <c r="AC10">
        <f t="shared" si="0"/>
        <v>1</v>
      </c>
      <c r="AD10">
        <f t="shared" si="2"/>
        <v>95.833333333333343</v>
      </c>
    </row>
    <row r="11" spans="1:31" x14ac:dyDescent="0.2">
      <c r="A11">
        <v>2024</v>
      </c>
      <c r="B11" t="s">
        <v>46</v>
      </c>
      <c r="C11" t="s">
        <v>155</v>
      </c>
      <c r="D11" t="s">
        <v>156</v>
      </c>
      <c r="E11" t="s">
        <v>156</v>
      </c>
      <c r="F11" t="s">
        <v>156</v>
      </c>
      <c r="G11" t="s">
        <v>156</v>
      </c>
      <c r="H11" t="s">
        <v>156</v>
      </c>
      <c r="I11" t="s">
        <v>157</v>
      </c>
      <c r="J11" t="s">
        <v>156</v>
      </c>
      <c r="K11" t="s">
        <v>156</v>
      </c>
      <c r="L11" t="s">
        <v>157</v>
      </c>
      <c r="M11" t="s">
        <v>156</v>
      </c>
      <c r="N11" t="s">
        <v>156</v>
      </c>
      <c r="O11" t="s">
        <v>157</v>
      </c>
      <c r="P11" t="s">
        <v>156</v>
      </c>
      <c r="Q11" t="s">
        <v>156</v>
      </c>
      <c r="R11" t="s">
        <v>156</v>
      </c>
      <c r="S11" t="s">
        <v>157</v>
      </c>
      <c r="T11" t="s">
        <v>156</v>
      </c>
      <c r="U11" t="s">
        <v>156</v>
      </c>
      <c r="V11" t="s">
        <v>156</v>
      </c>
      <c r="W11" t="s">
        <v>156</v>
      </c>
      <c r="X11" t="s">
        <v>156</v>
      </c>
      <c r="Y11" t="s">
        <v>157</v>
      </c>
      <c r="Z11" t="s">
        <v>156</v>
      </c>
      <c r="AA11" t="s">
        <v>156</v>
      </c>
      <c r="AB11">
        <f t="shared" si="1"/>
        <v>19</v>
      </c>
      <c r="AC11">
        <f t="shared" si="0"/>
        <v>5</v>
      </c>
      <c r="AD11">
        <f t="shared" si="2"/>
        <v>79.166666666666657</v>
      </c>
    </row>
    <row r="12" spans="1:31" x14ac:dyDescent="0.2">
      <c r="A12">
        <v>2024</v>
      </c>
      <c r="B12" t="s">
        <v>48</v>
      </c>
      <c r="C12" t="s">
        <v>155</v>
      </c>
      <c r="AB12">
        <f t="shared" si="1"/>
        <v>0</v>
      </c>
      <c r="AC12">
        <f t="shared" si="0"/>
        <v>0</v>
      </c>
    </row>
    <row r="13" spans="1:31" x14ac:dyDescent="0.2">
      <c r="A13">
        <v>2024</v>
      </c>
      <c r="B13" t="s">
        <v>50</v>
      </c>
      <c r="C13" t="s">
        <v>155</v>
      </c>
      <c r="AB13">
        <f t="shared" si="1"/>
        <v>0</v>
      </c>
      <c r="AC13">
        <f t="shared" si="0"/>
        <v>0</v>
      </c>
    </row>
    <row r="14" spans="1:31" x14ac:dyDescent="0.2">
      <c r="A14">
        <v>2024</v>
      </c>
      <c r="B14" t="s">
        <v>53</v>
      </c>
      <c r="C14" t="s">
        <v>155</v>
      </c>
      <c r="D14" t="s">
        <v>156</v>
      </c>
      <c r="E14" t="s">
        <v>156</v>
      </c>
      <c r="F14" t="s">
        <v>156</v>
      </c>
      <c r="G14" s="14" t="s">
        <v>156</v>
      </c>
      <c r="H14" s="14" t="s">
        <v>156</v>
      </c>
      <c r="I14" s="14" t="s">
        <v>156</v>
      </c>
      <c r="J14" s="14" t="s">
        <v>157</v>
      </c>
      <c r="K14" s="14" t="s">
        <v>158</v>
      </c>
      <c r="L14" s="14" t="s">
        <v>158</v>
      </c>
      <c r="M14" s="14" t="s">
        <v>159</v>
      </c>
      <c r="N14" s="14" t="s">
        <v>158</v>
      </c>
      <c r="O14" s="14" t="s">
        <v>158</v>
      </c>
      <c r="P14" s="14" t="s">
        <v>156</v>
      </c>
      <c r="Q14" s="14" t="s">
        <v>156</v>
      </c>
      <c r="R14" s="14" t="s">
        <v>156</v>
      </c>
      <c r="S14" s="14" t="s">
        <v>157</v>
      </c>
      <c r="T14" t="s">
        <v>157</v>
      </c>
      <c r="U14" t="s">
        <v>157</v>
      </c>
      <c r="V14" t="s">
        <v>157</v>
      </c>
      <c r="W14" t="s">
        <v>157</v>
      </c>
      <c r="X14" t="s">
        <v>157</v>
      </c>
      <c r="Y14" t="s">
        <v>157</v>
      </c>
      <c r="Z14" t="s">
        <v>157</v>
      </c>
      <c r="AA14" t="s">
        <v>157</v>
      </c>
      <c r="AB14" s="14">
        <f t="shared" si="1"/>
        <v>9</v>
      </c>
      <c r="AC14" s="14">
        <f t="shared" si="0"/>
        <v>10</v>
      </c>
      <c r="AD14" s="14">
        <f t="shared" si="2"/>
        <v>37.5</v>
      </c>
      <c r="AE14" t="s">
        <v>166</v>
      </c>
    </row>
    <row r="15" spans="1:31" x14ac:dyDescent="0.2">
      <c r="A15">
        <v>2024</v>
      </c>
      <c r="B15" t="s">
        <v>55</v>
      </c>
      <c r="C15" t="s">
        <v>155</v>
      </c>
      <c r="D15" t="s">
        <v>156</v>
      </c>
      <c r="E15" t="s">
        <v>156</v>
      </c>
      <c r="F15" t="s">
        <v>156</v>
      </c>
      <c r="G15" t="s">
        <v>156</v>
      </c>
      <c r="H15" t="s">
        <v>157</v>
      </c>
      <c r="I15" t="s">
        <v>157</v>
      </c>
      <c r="J15" t="s">
        <v>156</v>
      </c>
      <c r="K15" t="s">
        <v>156</v>
      </c>
      <c r="L15" t="s">
        <v>156</v>
      </c>
      <c r="M15" t="s">
        <v>156</v>
      </c>
      <c r="N15" t="s">
        <v>156</v>
      </c>
      <c r="O15" t="s">
        <v>157</v>
      </c>
      <c r="P15" t="s">
        <v>156</v>
      </c>
      <c r="Q15" t="s">
        <v>156</v>
      </c>
      <c r="R15" t="s">
        <v>156</v>
      </c>
      <c r="S15" t="s">
        <v>156</v>
      </c>
      <c r="T15" t="s">
        <v>156</v>
      </c>
      <c r="U15" t="s">
        <v>156</v>
      </c>
      <c r="V15" t="s">
        <v>156</v>
      </c>
      <c r="W15" t="s">
        <v>156</v>
      </c>
      <c r="X15" t="s">
        <v>156</v>
      </c>
      <c r="Y15" t="s">
        <v>156</v>
      </c>
      <c r="Z15" t="s">
        <v>156</v>
      </c>
      <c r="AA15" t="s">
        <v>156</v>
      </c>
      <c r="AB15">
        <f t="shared" si="1"/>
        <v>21</v>
      </c>
      <c r="AC15">
        <f t="shared" si="0"/>
        <v>3</v>
      </c>
      <c r="AD15">
        <f t="shared" si="2"/>
        <v>87.5</v>
      </c>
    </row>
    <row r="16" spans="1:31" x14ac:dyDescent="0.2">
      <c r="A16">
        <v>2024</v>
      </c>
      <c r="B16" t="s">
        <v>57</v>
      </c>
      <c r="C16" t="s">
        <v>155</v>
      </c>
      <c r="D16" t="s">
        <v>157</v>
      </c>
      <c r="E16" t="s">
        <v>156</v>
      </c>
      <c r="F16" t="s">
        <v>156</v>
      </c>
      <c r="G16" t="s">
        <v>156</v>
      </c>
      <c r="H16" t="s">
        <v>156</v>
      </c>
      <c r="I16" t="s">
        <v>156</v>
      </c>
      <c r="J16" t="s">
        <v>156</v>
      </c>
      <c r="K16" t="s">
        <v>156</v>
      </c>
      <c r="L16" t="s">
        <v>156</v>
      </c>
      <c r="M16" t="s">
        <v>157</v>
      </c>
      <c r="N16" t="s">
        <v>156</v>
      </c>
      <c r="O16" t="s">
        <v>156</v>
      </c>
      <c r="P16" t="s">
        <v>157</v>
      </c>
      <c r="Q16" t="s">
        <v>157</v>
      </c>
      <c r="R16" t="s">
        <v>156</v>
      </c>
      <c r="S16" t="s">
        <v>156</v>
      </c>
      <c r="T16" t="s">
        <v>156</v>
      </c>
      <c r="U16" t="s">
        <v>157</v>
      </c>
      <c r="V16" t="s">
        <v>156</v>
      </c>
      <c r="W16" t="s">
        <v>156</v>
      </c>
      <c r="X16" t="s">
        <v>157</v>
      </c>
      <c r="Y16" t="s">
        <v>156</v>
      </c>
      <c r="Z16" t="s">
        <v>156</v>
      </c>
      <c r="AA16" t="s">
        <v>156</v>
      </c>
      <c r="AB16">
        <f t="shared" si="1"/>
        <v>18</v>
      </c>
      <c r="AC16">
        <f t="shared" si="0"/>
        <v>6</v>
      </c>
      <c r="AD16">
        <f t="shared" si="2"/>
        <v>75</v>
      </c>
    </row>
    <row r="17" spans="1:31" x14ac:dyDescent="0.2">
      <c r="A17">
        <v>2024</v>
      </c>
      <c r="B17" t="s">
        <v>56</v>
      </c>
      <c r="C17" t="s">
        <v>155</v>
      </c>
      <c r="D17" t="s">
        <v>157</v>
      </c>
      <c r="E17" t="s">
        <v>156</v>
      </c>
      <c r="F17" t="s">
        <v>156</v>
      </c>
      <c r="G17" t="s">
        <v>156</v>
      </c>
      <c r="H17" t="s">
        <v>157</v>
      </c>
      <c r="I17" t="s">
        <v>156</v>
      </c>
      <c r="J17" t="s">
        <v>156</v>
      </c>
      <c r="K17" t="s">
        <v>156</v>
      </c>
      <c r="L17" t="s">
        <v>156</v>
      </c>
      <c r="M17" t="s">
        <v>157</v>
      </c>
      <c r="N17" t="s">
        <v>156</v>
      </c>
      <c r="O17" t="s">
        <v>157</v>
      </c>
      <c r="P17" t="s">
        <v>156</v>
      </c>
      <c r="Q17" t="s">
        <v>157</v>
      </c>
      <c r="R17" t="s">
        <v>156</v>
      </c>
      <c r="S17" t="s">
        <v>157</v>
      </c>
      <c r="T17" t="s">
        <v>156</v>
      </c>
      <c r="U17" t="s">
        <v>157</v>
      </c>
      <c r="V17" t="s">
        <v>156</v>
      </c>
      <c r="W17" t="s">
        <v>157</v>
      </c>
      <c r="X17" t="s">
        <v>157</v>
      </c>
      <c r="Y17" t="s">
        <v>156</v>
      </c>
      <c r="Z17" t="s">
        <v>157</v>
      </c>
      <c r="AA17" t="s">
        <v>157</v>
      </c>
      <c r="AB17">
        <f t="shared" si="1"/>
        <v>13</v>
      </c>
      <c r="AC17">
        <f t="shared" si="0"/>
        <v>11</v>
      </c>
      <c r="AD17">
        <f t="shared" si="2"/>
        <v>54.166666666666664</v>
      </c>
    </row>
    <row r="18" spans="1:31" x14ac:dyDescent="0.2">
      <c r="A18">
        <v>2024</v>
      </c>
      <c r="B18" t="s">
        <v>59</v>
      </c>
      <c r="C18" t="s">
        <v>155</v>
      </c>
      <c r="AB18">
        <f t="shared" si="1"/>
        <v>0</v>
      </c>
      <c r="AC18">
        <f t="shared" si="0"/>
        <v>0</v>
      </c>
    </row>
    <row r="19" spans="1:31" x14ac:dyDescent="0.2">
      <c r="A19">
        <v>2024</v>
      </c>
      <c r="B19" t="s">
        <v>60</v>
      </c>
      <c r="C19" t="s">
        <v>155</v>
      </c>
      <c r="AB19">
        <f t="shared" si="1"/>
        <v>0</v>
      </c>
      <c r="AC19">
        <f t="shared" si="0"/>
        <v>0</v>
      </c>
    </row>
    <row r="20" spans="1:31" x14ac:dyDescent="0.2">
      <c r="A20">
        <v>2024</v>
      </c>
      <c r="B20" s="47" t="s">
        <v>62</v>
      </c>
      <c r="C20" t="s">
        <v>155</v>
      </c>
      <c r="D20" t="s">
        <v>156</v>
      </c>
      <c r="E20" t="s">
        <v>157</v>
      </c>
      <c r="F20" t="s">
        <v>156</v>
      </c>
      <c r="G20" t="s">
        <v>156</v>
      </c>
      <c r="H20" t="s">
        <v>156</v>
      </c>
      <c r="I20" t="s">
        <v>156</v>
      </c>
      <c r="J20" t="s">
        <v>156</v>
      </c>
      <c r="K20" t="s">
        <v>156</v>
      </c>
      <c r="L20" t="s">
        <v>156</v>
      </c>
      <c r="M20" t="s">
        <v>156</v>
      </c>
      <c r="N20" t="s">
        <v>156</v>
      </c>
      <c r="O20" t="s">
        <v>156</v>
      </c>
      <c r="P20" s="48" t="s">
        <v>160</v>
      </c>
      <c r="Q20" s="48" t="s">
        <v>160</v>
      </c>
      <c r="R20" s="48" t="s">
        <v>160</v>
      </c>
      <c r="S20" s="48" t="s">
        <v>160</v>
      </c>
      <c r="T20" s="48" t="s">
        <v>160</v>
      </c>
      <c r="U20" s="48" t="s">
        <v>160</v>
      </c>
      <c r="V20" t="s">
        <v>157</v>
      </c>
      <c r="W20" t="s">
        <v>157</v>
      </c>
      <c r="X20" t="s">
        <v>157</v>
      </c>
      <c r="Y20" t="s">
        <v>157</v>
      </c>
      <c r="Z20" t="s">
        <v>157</v>
      </c>
      <c r="AA20" t="s">
        <v>157</v>
      </c>
      <c r="AB20" s="48">
        <f t="shared" si="1"/>
        <v>11</v>
      </c>
      <c r="AC20" s="48">
        <f t="shared" si="0"/>
        <v>7</v>
      </c>
      <c r="AD20" s="48">
        <f t="shared" si="2"/>
        <v>45.833333333333329</v>
      </c>
      <c r="AE20" t="s">
        <v>167</v>
      </c>
    </row>
    <row r="21" spans="1:31" x14ac:dyDescent="0.2">
      <c r="A21">
        <v>2024</v>
      </c>
      <c r="B21" t="s">
        <v>68</v>
      </c>
      <c r="C21" t="s">
        <v>155</v>
      </c>
      <c r="D21" t="s">
        <v>156</v>
      </c>
      <c r="E21" t="s">
        <v>156</v>
      </c>
      <c r="F21" t="s">
        <v>156</v>
      </c>
      <c r="G21" t="s">
        <v>156</v>
      </c>
      <c r="H21" t="s">
        <v>156</v>
      </c>
      <c r="I21" t="s">
        <v>156</v>
      </c>
      <c r="J21" t="s">
        <v>156</v>
      </c>
      <c r="K21" t="s">
        <v>156</v>
      </c>
      <c r="L21" t="s">
        <v>156</v>
      </c>
      <c r="M21" t="s">
        <v>156</v>
      </c>
      <c r="N21" t="s">
        <v>156</v>
      </c>
      <c r="O21" t="s">
        <v>156</v>
      </c>
      <c r="P21" t="s">
        <v>156</v>
      </c>
      <c r="Q21" t="s">
        <v>156</v>
      </c>
      <c r="R21" t="s">
        <v>156</v>
      </c>
      <c r="S21" t="s">
        <v>156</v>
      </c>
      <c r="T21" t="s">
        <v>156</v>
      </c>
      <c r="U21" t="s">
        <v>156</v>
      </c>
      <c r="V21" t="s">
        <v>156</v>
      </c>
      <c r="W21" t="s">
        <v>156</v>
      </c>
      <c r="X21" t="s">
        <v>156</v>
      </c>
      <c r="Y21" t="s">
        <v>156</v>
      </c>
      <c r="Z21" t="s">
        <v>156</v>
      </c>
      <c r="AA21" t="s">
        <v>156</v>
      </c>
      <c r="AB21">
        <f t="shared" si="1"/>
        <v>24</v>
      </c>
      <c r="AC21">
        <f t="shared" si="0"/>
        <v>0</v>
      </c>
      <c r="AD21">
        <f t="shared" si="2"/>
        <v>100</v>
      </c>
    </row>
    <row r="22" spans="1:31" x14ac:dyDescent="0.2">
      <c r="A22">
        <v>2024</v>
      </c>
      <c r="B22" t="s">
        <v>72</v>
      </c>
      <c r="C22" t="s">
        <v>155</v>
      </c>
      <c r="D22" t="s">
        <v>156</v>
      </c>
      <c r="E22" t="s">
        <v>156</v>
      </c>
      <c r="F22" t="s">
        <v>156</v>
      </c>
      <c r="G22" t="s">
        <v>156</v>
      </c>
      <c r="H22" t="s">
        <v>156</v>
      </c>
      <c r="I22" t="s">
        <v>156</v>
      </c>
      <c r="J22" t="s">
        <v>157</v>
      </c>
      <c r="K22" t="s">
        <v>156</v>
      </c>
      <c r="L22" t="s">
        <v>156</v>
      </c>
      <c r="M22" t="s">
        <v>156</v>
      </c>
      <c r="N22" t="s">
        <v>156</v>
      </c>
      <c r="O22" t="s">
        <v>156</v>
      </c>
      <c r="P22" t="s">
        <v>156</v>
      </c>
      <c r="Q22" t="s">
        <v>156</v>
      </c>
      <c r="R22" t="s">
        <v>156</v>
      </c>
      <c r="S22" t="s">
        <v>157</v>
      </c>
      <c r="T22" t="s">
        <v>157</v>
      </c>
      <c r="U22" t="s">
        <v>157</v>
      </c>
      <c r="V22" t="s">
        <v>157</v>
      </c>
      <c r="W22" t="s">
        <v>156</v>
      </c>
      <c r="X22" t="s">
        <v>157</v>
      </c>
      <c r="Y22" t="s">
        <v>157</v>
      </c>
      <c r="Z22" t="s">
        <v>157</v>
      </c>
      <c r="AA22" t="s">
        <v>157</v>
      </c>
      <c r="AB22">
        <f t="shared" si="1"/>
        <v>15</v>
      </c>
      <c r="AC22">
        <f t="shared" si="0"/>
        <v>9</v>
      </c>
      <c r="AD22">
        <f t="shared" si="2"/>
        <v>62.5</v>
      </c>
    </row>
    <row r="23" spans="1:31" x14ac:dyDescent="0.2">
      <c r="A23">
        <v>2024</v>
      </c>
      <c r="B23" t="s">
        <v>73</v>
      </c>
      <c r="C23" t="s">
        <v>155</v>
      </c>
      <c r="D23" t="s">
        <v>156</v>
      </c>
      <c r="E23" t="s">
        <v>156</v>
      </c>
      <c r="F23" t="s">
        <v>156</v>
      </c>
      <c r="G23" t="s">
        <v>156</v>
      </c>
      <c r="H23" t="s">
        <v>156</v>
      </c>
      <c r="I23" t="s">
        <v>156</v>
      </c>
      <c r="J23" t="s">
        <v>156</v>
      </c>
      <c r="K23" t="s">
        <v>156</v>
      </c>
      <c r="L23" t="s">
        <v>156</v>
      </c>
      <c r="M23" t="s">
        <v>156</v>
      </c>
      <c r="N23" t="s">
        <v>156</v>
      </c>
      <c r="O23" t="s">
        <v>156</v>
      </c>
      <c r="P23" t="s">
        <v>156</v>
      </c>
      <c r="Q23" t="s">
        <v>156</v>
      </c>
      <c r="R23" t="s">
        <v>156</v>
      </c>
      <c r="S23" t="s">
        <v>156</v>
      </c>
      <c r="T23" t="s">
        <v>156</v>
      </c>
      <c r="U23" t="s">
        <v>156</v>
      </c>
      <c r="V23" t="s">
        <v>156</v>
      </c>
      <c r="W23" t="s">
        <v>156</v>
      </c>
      <c r="X23" t="s">
        <v>156</v>
      </c>
      <c r="Y23" t="s">
        <v>156</v>
      </c>
      <c r="Z23" t="s">
        <v>156</v>
      </c>
      <c r="AA23" t="s">
        <v>156</v>
      </c>
      <c r="AB23">
        <f t="shared" si="1"/>
        <v>24</v>
      </c>
      <c r="AC23">
        <f t="shared" si="0"/>
        <v>0</v>
      </c>
      <c r="AD23">
        <f t="shared" si="2"/>
        <v>100</v>
      </c>
    </row>
    <row r="24" spans="1:31" x14ac:dyDescent="0.2">
      <c r="A24">
        <v>2024</v>
      </c>
      <c r="B24" t="s">
        <v>74</v>
      </c>
      <c r="C24" t="s">
        <v>155</v>
      </c>
      <c r="AB24">
        <f t="shared" si="1"/>
        <v>0</v>
      </c>
      <c r="AC24">
        <f t="shared" si="0"/>
        <v>0</v>
      </c>
    </row>
    <row r="25" spans="1:31" x14ac:dyDescent="0.2">
      <c r="A25">
        <v>2024</v>
      </c>
      <c r="B25" t="s">
        <v>77</v>
      </c>
      <c r="C25" t="s">
        <v>155</v>
      </c>
      <c r="D25" t="s">
        <v>156</v>
      </c>
      <c r="E25" t="s">
        <v>156</v>
      </c>
      <c r="F25" t="s">
        <v>156</v>
      </c>
      <c r="G25" t="s">
        <v>156</v>
      </c>
      <c r="H25" t="s">
        <v>156</v>
      </c>
      <c r="I25" t="s">
        <v>156</v>
      </c>
      <c r="J25" t="s">
        <v>156</v>
      </c>
      <c r="K25" t="s">
        <v>156</v>
      </c>
      <c r="L25" t="s">
        <v>156</v>
      </c>
      <c r="M25" t="s">
        <v>156</v>
      </c>
      <c r="N25" t="s">
        <v>156</v>
      </c>
      <c r="O25" t="s">
        <v>157</v>
      </c>
      <c r="P25" t="s">
        <v>156</v>
      </c>
      <c r="Q25" t="s">
        <v>156</v>
      </c>
      <c r="R25" t="s">
        <v>156</v>
      </c>
      <c r="S25" t="s">
        <v>156</v>
      </c>
      <c r="T25" t="s">
        <v>156</v>
      </c>
      <c r="U25" t="s">
        <v>157</v>
      </c>
      <c r="V25" t="s">
        <v>156</v>
      </c>
      <c r="W25" t="s">
        <v>156</v>
      </c>
      <c r="X25" t="s">
        <v>156</v>
      </c>
      <c r="Y25" t="s">
        <v>156</v>
      </c>
      <c r="Z25" t="s">
        <v>156</v>
      </c>
      <c r="AA25" t="s">
        <v>157</v>
      </c>
      <c r="AB25">
        <f t="shared" si="1"/>
        <v>21</v>
      </c>
      <c r="AC25">
        <f t="shared" si="0"/>
        <v>3</v>
      </c>
      <c r="AD25">
        <f t="shared" si="2"/>
        <v>87.5</v>
      </c>
    </row>
    <row r="26" spans="1:31" x14ac:dyDescent="0.2">
      <c r="A26">
        <v>2024</v>
      </c>
      <c r="B26" t="s">
        <v>78</v>
      </c>
      <c r="C26" t="s">
        <v>155</v>
      </c>
      <c r="D26" t="s">
        <v>156</v>
      </c>
      <c r="E26" t="s">
        <v>156</v>
      </c>
      <c r="F26" t="s">
        <v>156</v>
      </c>
      <c r="G26" t="s">
        <v>156</v>
      </c>
      <c r="H26" t="s">
        <v>156</v>
      </c>
      <c r="I26" t="s">
        <v>156</v>
      </c>
      <c r="J26" t="s">
        <v>156</v>
      </c>
      <c r="K26" t="s">
        <v>156</v>
      </c>
      <c r="L26" t="s">
        <v>157</v>
      </c>
      <c r="M26" t="s">
        <v>156</v>
      </c>
      <c r="N26" t="s">
        <v>156</v>
      </c>
      <c r="O26" t="s">
        <v>156</v>
      </c>
      <c r="P26" t="s">
        <v>156</v>
      </c>
      <c r="Q26" t="s">
        <v>156</v>
      </c>
      <c r="R26" t="s">
        <v>156</v>
      </c>
      <c r="S26" t="s">
        <v>156</v>
      </c>
      <c r="T26" t="s">
        <v>157</v>
      </c>
      <c r="U26" t="s">
        <v>156</v>
      </c>
      <c r="V26" t="s">
        <v>157</v>
      </c>
      <c r="W26" t="s">
        <v>157</v>
      </c>
      <c r="X26" t="s">
        <v>156</v>
      </c>
      <c r="Y26" t="s">
        <v>157</v>
      </c>
      <c r="Z26" t="s">
        <v>156</v>
      </c>
      <c r="AA26" t="s">
        <v>156</v>
      </c>
      <c r="AB26">
        <f t="shared" si="1"/>
        <v>19</v>
      </c>
      <c r="AC26">
        <f t="shared" si="0"/>
        <v>5</v>
      </c>
      <c r="AD26">
        <f t="shared" si="2"/>
        <v>79.166666666666657</v>
      </c>
    </row>
    <row r="27" spans="1:31" x14ac:dyDescent="0.2">
      <c r="A27">
        <v>2024</v>
      </c>
      <c r="B27" t="s">
        <v>20</v>
      </c>
      <c r="C27" t="s">
        <v>161</v>
      </c>
      <c r="D27" t="s">
        <v>156</v>
      </c>
      <c r="E27" t="s">
        <v>156</v>
      </c>
      <c r="F27" t="s">
        <v>156</v>
      </c>
      <c r="G27" t="s">
        <v>156</v>
      </c>
      <c r="H27" t="s">
        <v>156</v>
      </c>
      <c r="I27" t="s">
        <v>156</v>
      </c>
      <c r="J27" t="s">
        <v>157</v>
      </c>
      <c r="K27" t="s">
        <v>157</v>
      </c>
      <c r="L27" t="s">
        <v>157</v>
      </c>
      <c r="M27" t="s">
        <v>157</v>
      </c>
      <c r="N27" t="s">
        <v>157</v>
      </c>
      <c r="O27" t="s">
        <v>157</v>
      </c>
      <c r="P27" t="s">
        <v>157</v>
      </c>
      <c r="Q27" t="s">
        <v>157</v>
      </c>
      <c r="R27" t="s">
        <v>157</v>
      </c>
      <c r="S27" t="s">
        <v>157</v>
      </c>
      <c r="T27" t="s">
        <v>157</v>
      </c>
      <c r="U27" t="s">
        <v>157</v>
      </c>
      <c r="V27" t="s">
        <v>157</v>
      </c>
      <c r="W27" t="s">
        <v>157</v>
      </c>
      <c r="X27" t="s">
        <v>157</v>
      </c>
      <c r="Y27" t="s">
        <v>157</v>
      </c>
      <c r="Z27" t="s">
        <v>157</v>
      </c>
      <c r="AA27" t="s">
        <v>157</v>
      </c>
      <c r="AB27">
        <f t="shared" ref="AB27:AB47" si="3">COUNTIF(C27:AA27,"yes")</f>
        <v>6</v>
      </c>
      <c r="AC27">
        <f t="shared" ref="AC27:AC47" si="4">COUNTIF(C27:AA27,"no")</f>
        <v>18</v>
      </c>
      <c r="AD27">
        <f t="shared" si="2"/>
        <v>25</v>
      </c>
    </row>
    <row r="28" spans="1:31" x14ac:dyDescent="0.2">
      <c r="A28">
        <v>2024</v>
      </c>
      <c r="B28" t="s">
        <v>26</v>
      </c>
      <c r="C28" t="s">
        <v>161</v>
      </c>
      <c r="D28" t="s">
        <v>156</v>
      </c>
      <c r="E28" t="s">
        <v>157</v>
      </c>
      <c r="F28" t="s">
        <v>156</v>
      </c>
      <c r="G28" t="s">
        <v>156</v>
      </c>
      <c r="H28" t="s">
        <v>157</v>
      </c>
      <c r="I28" t="s">
        <v>157</v>
      </c>
      <c r="J28" t="s">
        <v>157</v>
      </c>
      <c r="K28" t="s">
        <v>157</v>
      </c>
      <c r="L28" t="s">
        <v>157</v>
      </c>
      <c r="M28" t="s">
        <v>157</v>
      </c>
      <c r="N28" t="s">
        <v>157</v>
      </c>
      <c r="O28" t="s">
        <v>156</v>
      </c>
      <c r="P28" t="s">
        <v>156</v>
      </c>
      <c r="Q28" t="s">
        <v>156</v>
      </c>
      <c r="R28" t="s">
        <v>156</v>
      </c>
      <c r="S28" t="s">
        <v>157</v>
      </c>
      <c r="T28" t="s">
        <v>156</v>
      </c>
      <c r="U28" t="s">
        <v>156</v>
      </c>
      <c r="V28" t="s">
        <v>157</v>
      </c>
      <c r="W28" t="s">
        <v>157</v>
      </c>
      <c r="X28" t="s">
        <v>156</v>
      </c>
      <c r="Y28" t="s">
        <v>156</v>
      </c>
      <c r="Z28" t="s">
        <v>156</v>
      </c>
      <c r="AA28" t="s">
        <v>157</v>
      </c>
      <c r="AB28">
        <f t="shared" si="3"/>
        <v>12</v>
      </c>
      <c r="AC28">
        <f t="shared" si="4"/>
        <v>12</v>
      </c>
      <c r="AD28">
        <f t="shared" si="2"/>
        <v>50</v>
      </c>
    </row>
    <row r="29" spans="1:31" x14ac:dyDescent="0.2">
      <c r="A29">
        <v>2024</v>
      </c>
      <c r="B29" t="s">
        <v>36</v>
      </c>
      <c r="C29" t="s">
        <v>161</v>
      </c>
      <c r="D29" t="s">
        <v>156</v>
      </c>
      <c r="E29" t="s">
        <v>156</v>
      </c>
      <c r="F29" t="s">
        <v>156</v>
      </c>
      <c r="G29" t="s">
        <v>156</v>
      </c>
      <c r="H29" t="s">
        <v>157</v>
      </c>
      <c r="I29" t="s">
        <v>156</v>
      </c>
      <c r="J29" t="s">
        <v>156</v>
      </c>
      <c r="K29" t="s">
        <v>156</v>
      </c>
      <c r="L29" t="s">
        <v>156</v>
      </c>
      <c r="M29" t="s">
        <v>156</v>
      </c>
      <c r="N29" t="s">
        <v>156</v>
      </c>
      <c r="O29" t="s">
        <v>156</v>
      </c>
      <c r="P29" t="s">
        <v>156</v>
      </c>
      <c r="Q29" t="s">
        <v>156</v>
      </c>
      <c r="R29" t="s">
        <v>156</v>
      </c>
      <c r="S29" t="s">
        <v>156</v>
      </c>
      <c r="T29" t="s">
        <v>156</v>
      </c>
      <c r="U29" t="s">
        <v>156</v>
      </c>
      <c r="V29" t="s">
        <v>156</v>
      </c>
      <c r="W29" t="s">
        <v>156</v>
      </c>
      <c r="X29" t="s">
        <v>156</v>
      </c>
      <c r="Y29" t="s">
        <v>156</v>
      </c>
      <c r="Z29" t="s">
        <v>156</v>
      </c>
      <c r="AA29" t="s">
        <v>156</v>
      </c>
      <c r="AB29">
        <f t="shared" si="3"/>
        <v>23</v>
      </c>
      <c r="AC29">
        <f t="shared" si="4"/>
        <v>1</v>
      </c>
      <c r="AD29">
        <f t="shared" si="2"/>
        <v>95.833333333333343</v>
      </c>
    </row>
    <row r="30" spans="1:31" x14ac:dyDescent="0.2">
      <c r="A30">
        <v>2024</v>
      </c>
      <c r="B30" t="s">
        <v>37</v>
      </c>
      <c r="C30" t="s">
        <v>161</v>
      </c>
      <c r="D30" t="s">
        <v>156</v>
      </c>
      <c r="E30" t="s">
        <v>156</v>
      </c>
      <c r="F30" t="s">
        <v>156</v>
      </c>
      <c r="G30" t="s">
        <v>156</v>
      </c>
      <c r="H30" t="s">
        <v>156</v>
      </c>
      <c r="I30" t="s">
        <v>156</v>
      </c>
      <c r="J30" t="s">
        <v>156</v>
      </c>
      <c r="K30" t="s">
        <v>156</v>
      </c>
      <c r="L30" t="s">
        <v>156</v>
      </c>
      <c r="M30" t="s">
        <v>156</v>
      </c>
      <c r="N30" t="s">
        <v>156</v>
      </c>
      <c r="O30" t="s">
        <v>156</v>
      </c>
      <c r="P30" t="s">
        <v>156</v>
      </c>
      <c r="Q30" t="s">
        <v>156</v>
      </c>
      <c r="R30" t="s">
        <v>156</v>
      </c>
      <c r="S30" t="s">
        <v>157</v>
      </c>
      <c r="T30" t="s">
        <v>157</v>
      </c>
      <c r="U30" t="s">
        <v>157</v>
      </c>
      <c r="V30" t="s">
        <v>157</v>
      </c>
      <c r="W30" t="s">
        <v>157</v>
      </c>
      <c r="X30" t="s">
        <v>157</v>
      </c>
      <c r="Y30" t="s">
        <v>157</v>
      </c>
      <c r="Z30" t="s">
        <v>157</v>
      </c>
      <c r="AA30" t="s">
        <v>157</v>
      </c>
      <c r="AB30">
        <f t="shared" si="3"/>
        <v>15</v>
      </c>
      <c r="AC30">
        <f t="shared" si="4"/>
        <v>9</v>
      </c>
      <c r="AD30">
        <f t="shared" si="2"/>
        <v>62.5</v>
      </c>
    </row>
    <row r="31" spans="1:31" x14ac:dyDescent="0.2">
      <c r="A31">
        <v>2024</v>
      </c>
      <c r="B31" t="s">
        <v>38</v>
      </c>
      <c r="C31" t="s">
        <v>161</v>
      </c>
      <c r="D31" t="s">
        <v>156</v>
      </c>
      <c r="E31" t="s">
        <v>156</v>
      </c>
      <c r="F31" t="s">
        <v>157</v>
      </c>
      <c r="G31" t="s">
        <v>157</v>
      </c>
      <c r="H31" t="s">
        <v>157</v>
      </c>
      <c r="I31" t="s">
        <v>157</v>
      </c>
      <c r="J31" t="s">
        <v>157</v>
      </c>
      <c r="K31" t="s">
        <v>156</v>
      </c>
      <c r="L31" t="s">
        <v>156</v>
      </c>
      <c r="M31" t="s">
        <v>156</v>
      </c>
      <c r="N31" t="s">
        <v>156</v>
      </c>
      <c r="O31" t="s">
        <v>156</v>
      </c>
      <c r="P31" t="s">
        <v>156</v>
      </c>
      <c r="Q31" t="s">
        <v>156</v>
      </c>
      <c r="R31" t="s">
        <v>156</v>
      </c>
      <c r="S31" t="s">
        <v>156</v>
      </c>
      <c r="T31" t="s">
        <v>156</v>
      </c>
      <c r="U31" t="s">
        <v>156</v>
      </c>
      <c r="V31" t="s">
        <v>156</v>
      </c>
      <c r="W31" t="s">
        <v>156</v>
      </c>
      <c r="X31" t="s">
        <v>157</v>
      </c>
      <c r="Y31" t="s">
        <v>157</v>
      </c>
      <c r="Z31" t="s">
        <v>157</v>
      </c>
      <c r="AA31" t="s">
        <v>157</v>
      </c>
      <c r="AB31">
        <f t="shared" si="3"/>
        <v>15</v>
      </c>
      <c r="AC31">
        <f t="shared" si="4"/>
        <v>9</v>
      </c>
      <c r="AD31">
        <f t="shared" si="2"/>
        <v>62.5</v>
      </c>
    </row>
    <row r="32" spans="1:31" x14ac:dyDescent="0.2">
      <c r="A32">
        <v>2024</v>
      </c>
      <c r="B32" t="s">
        <v>64</v>
      </c>
      <c r="C32" t="s">
        <v>161</v>
      </c>
      <c r="D32" t="s">
        <v>156</v>
      </c>
      <c r="E32" t="s">
        <v>157</v>
      </c>
      <c r="F32" t="s">
        <v>156</v>
      </c>
      <c r="G32" t="s">
        <v>156</v>
      </c>
      <c r="H32" t="s">
        <v>156</v>
      </c>
      <c r="I32" t="s">
        <v>156</v>
      </c>
      <c r="J32" t="s">
        <v>156</v>
      </c>
      <c r="K32" t="s">
        <v>156</v>
      </c>
      <c r="L32" t="s">
        <v>157</v>
      </c>
      <c r="M32" t="s">
        <v>156</v>
      </c>
      <c r="N32" t="s">
        <v>157</v>
      </c>
      <c r="O32" t="s">
        <v>157</v>
      </c>
      <c r="P32" t="s">
        <v>157</v>
      </c>
      <c r="Q32" t="s">
        <v>156</v>
      </c>
      <c r="R32" t="s">
        <v>156</v>
      </c>
      <c r="S32" t="s">
        <v>157</v>
      </c>
      <c r="T32" t="s">
        <v>157</v>
      </c>
      <c r="U32" t="s">
        <v>156</v>
      </c>
      <c r="V32" t="s">
        <v>156</v>
      </c>
      <c r="W32" t="s">
        <v>157</v>
      </c>
      <c r="X32" t="s">
        <v>156</v>
      </c>
      <c r="Y32" t="s">
        <v>156</v>
      </c>
      <c r="Z32" t="s">
        <v>156</v>
      </c>
      <c r="AA32" t="s">
        <v>156</v>
      </c>
      <c r="AB32">
        <f t="shared" si="3"/>
        <v>16</v>
      </c>
      <c r="AC32">
        <f t="shared" si="4"/>
        <v>8</v>
      </c>
      <c r="AD32">
        <f t="shared" si="2"/>
        <v>66.666666666666657</v>
      </c>
    </row>
    <row r="33" spans="1:31" x14ac:dyDescent="0.2">
      <c r="A33">
        <v>2024</v>
      </c>
      <c r="B33" t="s">
        <v>66</v>
      </c>
      <c r="C33" t="s">
        <v>161</v>
      </c>
      <c r="D33" t="s">
        <v>156</v>
      </c>
      <c r="E33" t="s">
        <v>157</v>
      </c>
      <c r="F33" t="s">
        <v>157</v>
      </c>
      <c r="G33" t="s">
        <v>157</v>
      </c>
      <c r="H33" t="s">
        <v>156</v>
      </c>
      <c r="I33" t="s">
        <v>156</v>
      </c>
      <c r="J33" t="s">
        <v>156</v>
      </c>
      <c r="K33" t="s">
        <v>157</v>
      </c>
      <c r="L33" t="s">
        <v>157</v>
      </c>
      <c r="M33" t="s">
        <v>156</v>
      </c>
      <c r="N33" t="s">
        <v>157</v>
      </c>
      <c r="O33" t="s">
        <v>156</v>
      </c>
      <c r="P33" t="s">
        <v>156</v>
      </c>
      <c r="Q33" t="s">
        <v>157</v>
      </c>
      <c r="R33" t="s">
        <v>157</v>
      </c>
      <c r="S33" t="s">
        <v>157</v>
      </c>
      <c r="T33" t="s">
        <v>157</v>
      </c>
      <c r="U33" t="s">
        <v>157</v>
      </c>
      <c r="V33" t="s">
        <v>157</v>
      </c>
      <c r="W33" t="s">
        <v>157</v>
      </c>
      <c r="X33" t="s">
        <v>157</v>
      </c>
      <c r="Y33" t="s">
        <v>157</v>
      </c>
      <c r="Z33" t="s">
        <v>157</v>
      </c>
      <c r="AA33" t="s">
        <v>157</v>
      </c>
      <c r="AB33">
        <f t="shared" si="3"/>
        <v>7</v>
      </c>
      <c r="AC33">
        <f t="shared" si="4"/>
        <v>17</v>
      </c>
      <c r="AD33">
        <f t="shared" si="2"/>
        <v>29.166666666666668</v>
      </c>
    </row>
    <row r="34" spans="1:31" x14ac:dyDescent="0.2">
      <c r="A34">
        <v>2024</v>
      </c>
      <c r="B34" t="s">
        <v>67</v>
      </c>
      <c r="C34" t="s">
        <v>161</v>
      </c>
      <c r="D34" t="s">
        <v>156</v>
      </c>
      <c r="E34" t="s">
        <v>156</v>
      </c>
      <c r="F34" t="s">
        <v>156</v>
      </c>
      <c r="G34" t="s">
        <v>157</v>
      </c>
      <c r="H34" t="s">
        <v>157</v>
      </c>
      <c r="I34" t="s">
        <v>157</v>
      </c>
      <c r="J34" t="s">
        <v>156</v>
      </c>
      <c r="K34" t="s">
        <v>156</v>
      </c>
      <c r="L34" t="s">
        <v>156</v>
      </c>
      <c r="M34" t="s">
        <v>156</v>
      </c>
      <c r="N34" t="s">
        <v>156</v>
      </c>
      <c r="O34" t="s">
        <v>156</v>
      </c>
      <c r="P34" t="s">
        <v>156</v>
      </c>
      <c r="Q34" t="s">
        <v>156</v>
      </c>
      <c r="R34" t="s">
        <v>157</v>
      </c>
      <c r="S34" t="s">
        <v>157</v>
      </c>
      <c r="T34" t="s">
        <v>156</v>
      </c>
      <c r="U34" t="s">
        <v>156</v>
      </c>
      <c r="V34" t="s">
        <v>156</v>
      </c>
      <c r="W34" t="s">
        <v>156</v>
      </c>
      <c r="X34" t="s">
        <v>157</v>
      </c>
      <c r="Y34" t="s">
        <v>156</v>
      </c>
      <c r="Z34" t="s">
        <v>156</v>
      </c>
      <c r="AA34" t="s">
        <v>156</v>
      </c>
      <c r="AB34">
        <f t="shared" si="3"/>
        <v>18</v>
      </c>
      <c r="AC34">
        <f t="shared" si="4"/>
        <v>6</v>
      </c>
      <c r="AD34">
        <f t="shared" si="2"/>
        <v>75</v>
      </c>
    </row>
    <row r="35" spans="1:31" x14ac:dyDescent="0.2">
      <c r="A35">
        <v>2024</v>
      </c>
      <c r="B35" t="s">
        <v>69</v>
      </c>
      <c r="C35" t="s">
        <v>161</v>
      </c>
      <c r="D35" t="s">
        <v>156</v>
      </c>
      <c r="E35" t="s">
        <v>156</v>
      </c>
      <c r="F35" t="s">
        <v>156</v>
      </c>
      <c r="G35" t="s">
        <v>157</v>
      </c>
      <c r="H35" t="s">
        <v>157</v>
      </c>
      <c r="I35" t="s">
        <v>156</v>
      </c>
      <c r="J35" t="s">
        <v>156</v>
      </c>
      <c r="K35" t="s">
        <v>157</v>
      </c>
      <c r="L35" t="s">
        <v>157</v>
      </c>
      <c r="M35" t="s">
        <v>157</v>
      </c>
      <c r="N35" t="s">
        <v>157</v>
      </c>
      <c r="O35" t="s">
        <v>157</v>
      </c>
      <c r="P35" t="s">
        <v>157</v>
      </c>
      <c r="Q35" t="s">
        <v>157</v>
      </c>
      <c r="R35" t="s">
        <v>157</v>
      </c>
      <c r="S35" t="s">
        <v>157</v>
      </c>
      <c r="T35" t="s">
        <v>157</v>
      </c>
      <c r="U35" t="s">
        <v>157</v>
      </c>
      <c r="V35" t="s">
        <v>157</v>
      </c>
      <c r="W35" t="s">
        <v>157</v>
      </c>
      <c r="X35" t="s">
        <v>157</v>
      </c>
      <c r="Y35" t="s">
        <v>157</v>
      </c>
      <c r="Z35" t="s">
        <v>157</v>
      </c>
      <c r="AA35" t="s">
        <v>157</v>
      </c>
      <c r="AB35">
        <f t="shared" si="3"/>
        <v>5</v>
      </c>
      <c r="AC35">
        <f t="shared" si="4"/>
        <v>19</v>
      </c>
      <c r="AD35">
        <f t="shared" si="2"/>
        <v>20.833333333333336</v>
      </c>
    </row>
    <row r="36" spans="1:31" x14ac:dyDescent="0.2">
      <c r="A36">
        <v>2024</v>
      </c>
      <c r="B36" t="s">
        <v>70</v>
      </c>
      <c r="C36" t="s">
        <v>161</v>
      </c>
      <c r="D36" t="s">
        <v>156</v>
      </c>
      <c r="E36" t="s">
        <v>157</v>
      </c>
      <c r="F36" t="s">
        <v>156</v>
      </c>
      <c r="G36" t="s">
        <v>156</v>
      </c>
      <c r="H36" t="s">
        <v>156</v>
      </c>
      <c r="I36" t="s">
        <v>156</v>
      </c>
      <c r="J36" t="s">
        <v>157</v>
      </c>
      <c r="K36" t="s">
        <v>156</v>
      </c>
      <c r="L36" t="s">
        <v>156</v>
      </c>
      <c r="M36" t="s">
        <v>157</v>
      </c>
      <c r="N36" t="s">
        <v>156</v>
      </c>
      <c r="O36" t="s">
        <v>156</v>
      </c>
      <c r="P36" t="s">
        <v>156</v>
      </c>
      <c r="Q36" t="s">
        <v>157</v>
      </c>
      <c r="R36" t="s">
        <v>156</v>
      </c>
      <c r="S36" t="s">
        <v>156</v>
      </c>
      <c r="T36" t="s">
        <v>156</v>
      </c>
      <c r="U36" t="s">
        <v>156</v>
      </c>
      <c r="V36" t="s">
        <v>156</v>
      </c>
      <c r="W36" t="s">
        <v>156</v>
      </c>
      <c r="X36" t="s">
        <v>157</v>
      </c>
      <c r="Y36" t="s">
        <v>156</v>
      </c>
      <c r="Z36" t="s">
        <v>156</v>
      </c>
      <c r="AA36" t="s">
        <v>157</v>
      </c>
      <c r="AB36">
        <f t="shared" si="3"/>
        <v>18</v>
      </c>
      <c r="AC36">
        <f t="shared" si="4"/>
        <v>6</v>
      </c>
      <c r="AD36">
        <f t="shared" si="2"/>
        <v>75</v>
      </c>
    </row>
    <row r="37" spans="1:31" x14ac:dyDescent="0.2">
      <c r="A37">
        <v>2024</v>
      </c>
      <c r="B37" t="s">
        <v>76</v>
      </c>
      <c r="C37" t="s">
        <v>161</v>
      </c>
      <c r="D37" t="s">
        <v>157</v>
      </c>
      <c r="E37" t="s">
        <v>156</v>
      </c>
      <c r="F37" t="s">
        <v>156</v>
      </c>
      <c r="G37" t="s">
        <v>156</v>
      </c>
      <c r="H37" t="s">
        <v>156</v>
      </c>
      <c r="I37" t="s">
        <v>156</v>
      </c>
      <c r="J37" t="s">
        <v>157</v>
      </c>
      <c r="K37" t="s">
        <v>157</v>
      </c>
      <c r="L37" t="s">
        <v>157</v>
      </c>
      <c r="M37" t="s">
        <v>157</v>
      </c>
      <c r="N37" t="s">
        <v>157</v>
      </c>
      <c r="O37" t="s">
        <v>157</v>
      </c>
      <c r="P37" t="s">
        <v>157</v>
      </c>
      <c r="Q37" t="s">
        <v>157</v>
      </c>
      <c r="R37" t="s">
        <v>157</v>
      </c>
      <c r="S37" t="s">
        <v>157</v>
      </c>
      <c r="T37" t="s">
        <v>157</v>
      </c>
      <c r="U37" t="s">
        <v>157</v>
      </c>
      <c r="V37" t="s">
        <v>157</v>
      </c>
      <c r="W37" t="s">
        <v>157</v>
      </c>
      <c r="X37" t="s">
        <v>157</v>
      </c>
      <c r="Y37" t="s">
        <v>157</v>
      </c>
      <c r="Z37" t="s">
        <v>157</v>
      </c>
      <c r="AA37" t="s">
        <v>157</v>
      </c>
      <c r="AB37">
        <f t="shared" si="3"/>
        <v>5</v>
      </c>
      <c r="AC37">
        <f t="shared" si="4"/>
        <v>19</v>
      </c>
      <c r="AD37">
        <f t="shared" si="2"/>
        <v>20.833333333333336</v>
      </c>
    </row>
    <row r="38" spans="1:31" x14ac:dyDescent="0.2">
      <c r="A38">
        <v>2024</v>
      </c>
      <c r="B38" t="s">
        <v>45</v>
      </c>
      <c r="C38" t="s">
        <v>161</v>
      </c>
      <c r="D38" t="s">
        <v>156</v>
      </c>
      <c r="E38" t="s">
        <v>156</v>
      </c>
      <c r="F38" t="s">
        <v>156</v>
      </c>
      <c r="G38" t="s">
        <v>156</v>
      </c>
      <c r="H38" t="s">
        <v>156</v>
      </c>
      <c r="I38" t="s">
        <v>156</v>
      </c>
      <c r="J38" t="s">
        <v>156</v>
      </c>
      <c r="K38" t="s">
        <v>156</v>
      </c>
      <c r="L38" t="s">
        <v>156</v>
      </c>
      <c r="M38" t="s">
        <v>156</v>
      </c>
      <c r="N38" t="s">
        <v>156</v>
      </c>
      <c r="O38" t="s">
        <v>156</v>
      </c>
      <c r="P38" t="s">
        <v>157</v>
      </c>
      <c r="Q38" t="s">
        <v>156</v>
      </c>
      <c r="R38" t="s">
        <v>156</v>
      </c>
      <c r="S38" t="s">
        <v>156</v>
      </c>
      <c r="T38" t="s">
        <v>156</v>
      </c>
      <c r="U38" t="s">
        <v>156</v>
      </c>
      <c r="V38" t="s">
        <v>156</v>
      </c>
      <c r="W38" t="s">
        <v>156</v>
      </c>
      <c r="X38" t="s">
        <v>156</v>
      </c>
      <c r="Y38" t="s">
        <v>156</v>
      </c>
      <c r="Z38" t="s">
        <v>156</v>
      </c>
      <c r="AA38" t="s">
        <v>156</v>
      </c>
      <c r="AB38">
        <f t="shared" si="3"/>
        <v>23</v>
      </c>
      <c r="AC38">
        <f t="shared" si="4"/>
        <v>1</v>
      </c>
      <c r="AD38">
        <f t="shared" si="2"/>
        <v>95.833333333333343</v>
      </c>
    </row>
    <row r="39" spans="1:31" x14ac:dyDescent="0.2">
      <c r="A39">
        <v>2024</v>
      </c>
      <c r="B39" t="s">
        <v>47</v>
      </c>
      <c r="C39" t="s">
        <v>161</v>
      </c>
      <c r="D39" t="s">
        <v>156</v>
      </c>
      <c r="E39" t="s">
        <v>156</v>
      </c>
      <c r="F39" t="s">
        <v>156</v>
      </c>
      <c r="G39" t="s">
        <v>156</v>
      </c>
      <c r="H39" t="s">
        <v>156</v>
      </c>
      <c r="I39" t="s">
        <v>156</v>
      </c>
      <c r="J39" t="s">
        <v>156</v>
      </c>
      <c r="K39" t="s">
        <v>156</v>
      </c>
      <c r="L39" t="s">
        <v>156</v>
      </c>
      <c r="M39" t="s">
        <v>156</v>
      </c>
      <c r="N39" t="s">
        <v>156</v>
      </c>
      <c r="O39" t="s">
        <v>156</v>
      </c>
      <c r="P39" t="s">
        <v>156</v>
      </c>
      <c r="Q39" t="s">
        <v>156</v>
      </c>
      <c r="R39" t="s">
        <v>156</v>
      </c>
      <c r="S39" t="s">
        <v>156</v>
      </c>
      <c r="T39" t="s">
        <v>156</v>
      </c>
      <c r="U39" t="s">
        <v>156</v>
      </c>
      <c r="V39" t="s">
        <v>156</v>
      </c>
      <c r="W39" t="s">
        <v>156</v>
      </c>
      <c r="X39" t="s">
        <v>156</v>
      </c>
      <c r="Y39" t="s">
        <v>156</v>
      </c>
      <c r="Z39" t="s">
        <v>156</v>
      </c>
      <c r="AA39" t="s">
        <v>156</v>
      </c>
      <c r="AB39">
        <f t="shared" si="3"/>
        <v>24</v>
      </c>
      <c r="AC39">
        <f t="shared" si="4"/>
        <v>0</v>
      </c>
      <c r="AD39">
        <f t="shared" si="2"/>
        <v>100</v>
      </c>
    </row>
    <row r="40" spans="1:31" x14ac:dyDescent="0.2">
      <c r="A40">
        <v>2024</v>
      </c>
      <c r="B40" t="s">
        <v>79</v>
      </c>
      <c r="C40" t="s">
        <v>161</v>
      </c>
      <c r="D40" t="s">
        <v>156</v>
      </c>
      <c r="E40" t="s">
        <v>156</v>
      </c>
      <c r="F40" t="s">
        <v>156</v>
      </c>
      <c r="G40" t="s">
        <v>156</v>
      </c>
      <c r="H40" t="s">
        <v>156</v>
      </c>
      <c r="I40" t="s">
        <v>157</v>
      </c>
      <c r="J40" t="s">
        <v>157</v>
      </c>
      <c r="K40" t="s">
        <v>156</v>
      </c>
      <c r="L40" t="s">
        <v>156</v>
      </c>
      <c r="M40" t="s">
        <v>157</v>
      </c>
      <c r="N40" t="s">
        <v>156</v>
      </c>
      <c r="O40" t="s">
        <v>157</v>
      </c>
      <c r="P40" t="s">
        <v>157</v>
      </c>
      <c r="Q40" t="s">
        <v>156</v>
      </c>
      <c r="R40" t="s">
        <v>156</v>
      </c>
      <c r="S40" t="s">
        <v>156</v>
      </c>
      <c r="T40" t="s">
        <v>156</v>
      </c>
      <c r="U40" t="s">
        <v>156</v>
      </c>
      <c r="V40" t="s">
        <v>157</v>
      </c>
      <c r="W40" t="s">
        <v>157</v>
      </c>
      <c r="X40" t="s">
        <v>157</v>
      </c>
      <c r="Y40" t="s">
        <v>157</v>
      </c>
      <c r="Z40" t="s">
        <v>157</v>
      </c>
      <c r="AA40" t="s">
        <v>157</v>
      </c>
      <c r="AB40">
        <f t="shared" si="3"/>
        <v>13</v>
      </c>
      <c r="AC40">
        <f t="shared" si="4"/>
        <v>11</v>
      </c>
      <c r="AD40">
        <f t="shared" si="2"/>
        <v>54.166666666666664</v>
      </c>
    </row>
    <row r="41" spans="1:31" x14ac:dyDescent="0.2">
      <c r="A41">
        <v>2024</v>
      </c>
      <c r="B41" t="s">
        <v>80</v>
      </c>
      <c r="C41" t="s">
        <v>161</v>
      </c>
      <c r="D41" t="s">
        <v>157</v>
      </c>
      <c r="E41" t="s">
        <v>156</v>
      </c>
      <c r="F41" t="s">
        <v>156</v>
      </c>
      <c r="G41" t="s">
        <v>157</v>
      </c>
      <c r="H41" t="s">
        <v>157</v>
      </c>
      <c r="I41" t="s">
        <v>156</v>
      </c>
      <c r="J41" t="s">
        <v>156</v>
      </c>
      <c r="K41" t="s">
        <v>156</v>
      </c>
      <c r="L41" t="s">
        <v>156</v>
      </c>
      <c r="M41" t="s">
        <v>156</v>
      </c>
      <c r="N41" t="s">
        <v>156</v>
      </c>
      <c r="O41" t="s">
        <v>156</v>
      </c>
      <c r="P41" t="s">
        <v>156</v>
      </c>
      <c r="Q41" t="s">
        <v>156</v>
      </c>
      <c r="R41" t="s">
        <v>156</v>
      </c>
      <c r="S41" t="s">
        <v>156</v>
      </c>
      <c r="T41" t="s">
        <v>157</v>
      </c>
      <c r="U41" t="s">
        <v>156</v>
      </c>
      <c r="V41" t="s">
        <v>156</v>
      </c>
      <c r="W41" t="s">
        <v>156</v>
      </c>
      <c r="X41" t="s">
        <v>156</v>
      </c>
      <c r="Y41" t="s">
        <v>156</v>
      </c>
      <c r="Z41" t="s">
        <v>157</v>
      </c>
      <c r="AA41" t="s">
        <v>156</v>
      </c>
      <c r="AB41">
        <f t="shared" si="3"/>
        <v>19</v>
      </c>
      <c r="AC41">
        <f t="shared" si="4"/>
        <v>5</v>
      </c>
      <c r="AD41">
        <f t="shared" si="2"/>
        <v>79.166666666666657</v>
      </c>
    </row>
    <row r="42" spans="1:31" x14ac:dyDescent="0.2">
      <c r="A42">
        <v>2024</v>
      </c>
      <c r="B42" t="s">
        <v>49</v>
      </c>
      <c r="C42" t="s">
        <v>161</v>
      </c>
      <c r="D42" t="s">
        <v>156</v>
      </c>
      <c r="E42" t="s">
        <v>156</v>
      </c>
      <c r="F42" t="s">
        <v>156</v>
      </c>
      <c r="G42" t="s">
        <v>156</v>
      </c>
      <c r="H42" t="s">
        <v>156</v>
      </c>
      <c r="I42" t="s">
        <v>156</v>
      </c>
      <c r="J42" t="s">
        <v>156</v>
      </c>
      <c r="K42" t="s">
        <v>156</v>
      </c>
      <c r="L42" t="s">
        <v>156</v>
      </c>
      <c r="M42" t="s">
        <v>156</v>
      </c>
      <c r="N42" t="s">
        <v>156</v>
      </c>
      <c r="O42" t="s">
        <v>156</v>
      </c>
      <c r="P42" t="s">
        <v>156</v>
      </c>
      <c r="Q42" t="s">
        <v>156</v>
      </c>
      <c r="R42" t="s">
        <v>156</v>
      </c>
      <c r="S42" t="s">
        <v>156</v>
      </c>
      <c r="T42" t="s">
        <v>156</v>
      </c>
      <c r="U42" t="s">
        <v>156</v>
      </c>
      <c r="V42" t="s">
        <v>156</v>
      </c>
      <c r="W42" t="s">
        <v>156</v>
      </c>
      <c r="X42" t="s">
        <v>156</v>
      </c>
      <c r="Y42" t="s">
        <v>156</v>
      </c>
      <c r="Z42" t="s">
        <v>156</v>
      </c>
      <c r="AA42" t="s">
        <v>156</v>
      </c>
      <c r="AB42">
        <f t="shared" si="3"/>
        <v>24</v>
      </c>
      <c r="AC42">
        <f t="shared" si="4"/>
        <v>0</v>
      </c>
      <c r="AD42">
        <f t="shared" si="2"/>
        <v>100</v>
      </c>
    </row>
    <row r="43" spans="1:31" x14ac:dyDescent="0.2">
      <c r="A43">
        <v>2024</v>
      </c>
      <c r="B43" t="s">
        <v>51</v>
      </c>
      <c r="C43" t="s">
        <v>161</v>
      </c>
      <c r="D43" t="s">
        <v>156</v>
      </c>
      <c r="E43" t="s">
        <v>157</v>
      </c>
      <c r="F43" t="s">
        <v>156</v>
      </c>
      <c r="G43" t="s">
        <v>157</v>
      </c>
      <c r="H43" t="s">
        <v>156</v>
      </c>
      <c r="I43" t="s">
        <v>156</v>
      </c>
      <c r="J43" t="s">
        <v>156</v>
      </c>
      <c r="K43" t="s">
        <v>156</v>
      </c>
      <c r="L43" t="s">
        <v>156</v>
      </c>
      <c r="M43" t="s">
        <v>156</v>
      </c>
      <c r="N43" t="s">
        <v>156</v>
      </c>
      <c r="O43" t="s">
        <v>156</v>
      </c>
      <c r="P43" t="s">
        <v>156</v>
      </c>
      <c r="Q43" t="s">
        <v>157</v>
      </c>
      <c r="R43" t="s">
        <v>156</v>
      </c>
      <c r="S43" t="s">
        <v>156</v>
      </c>
      <c r="T43" t="s">
        <v>156</v>
      </c>
      <c r="U43" t="s">
        <v>156</v>
      </c>
      <c r="V43" t="s">
        <v>156</v>
      </c>
      <c r="W43" t="s">
        <v>156</v>
      </c>
      <c r="X43" t="s">
        <v>156</v>
      </c>
      <c r="Y43" t="s">
        <v>156</v>
      </c>
      <c r="Z43" t="s">
        <v>157</v>
      </c>
      <c r="AA43" t="s">
        <v>156</v>
      </c>
      <c r="AB43">
        <f t="shared" si="3"/>
        <v>20</v>
      </c>
      <c r="AC43">
        <f t="shared" si="4"/>
        <v>4</v>
      </c>
      <c r="AD43">
        <f t="shared" si="2"/>
        <v>83.333333333333343</v>
      </c>
    </row>
    <row r="44" spans="1:31" x14ac:dyDescent="0.2">
      <c r="A44">
        <v>2024</v>
      </c>
      <c r="B44" t="s">
        <v>53</v>
      </c>
      <c r="C44" t="s">
        <v>161</v>
      </c>
      <c r="D44" t="s">
        <v>157</v>
      </c>
      <c r="E44" t="s">
        <v>157</v>
      </c>
      <c r="F44" t="s">
        <v>157</v>
      </c>
      <c r="G44" t="s">
        <v>157</v>
      </c>
      <c r="H44" t="s">
        <v>157</v>
      </c>
      <c r="I44" t="s">
        <v>157</v>
      </c>
      <c r="J44" t="s">
        <v>157</v>
      </c>
      <c r="K44" t="s">
        <v>157</v>
      </c>
      <c r="L44" t="s">
        <v>157</v>
      </c>
      <c r="M44" t="s">
        <v>157</v>
      </c>
      <c r="N44" t="s">
        <v>157</v>
      </c>
      <c r="O44" t="s">
        <v>157</v>
      </c>
      <c r="P44" t="s">
        <v>157</v>
      </c>
      <c r="Q44" t="s">
        <v>157</v>
      </c>
      <c r="R44" t="s">
        <v>157</v>
      </c>
      <c r="S44" t="s">
        <v>157</v>
      </c>
      <c r="T44" t="s">
        <v>157</v>
      </c>
      <c r="U44" t="s">
        <v>157</v>
      </c>
      <c r="V44" t="s">
        <v>157</v>
      </c>
      <c r="W44" t="s">
        <v>157</v>
      </c>
      <c r="X44" t="s">
        <v>157</v>
      </c>
      <c r="Y44" t="s">
        <v>157</v>
      </c>
      <c r="Z44" t="s">
        <v>157</v>
      </c>
      <c r="AA44" t="s">
        <v>157</v>
      </c>
      <c r="AB44">
        <f t="shared" si="3"/>
        <v>0</v>
      </c>
      <c r="AC44">
        <f t="shared" si="4"/>
        <v>24</v>
      </c>
    </row>
    <row r="45" spans="1:31" x14ac:dyDescent="0.2">
      <c r="A45">
        <v>2024</v>
      </c>
      <c r="B45" t="s">
        <v>54</v>
      </c>
      <c r="C45" t="s">
        <v>161</v>
      </c>
      <c r="D45" t="s">
        <v>156</v>
      </c>
      <c r="E45" t="s">
        <v>156</v>
      </c>
      <c r="F45" t="s">
        <v>157</v>
      </c>
      <c r="G45" t="s">
        <v>157</v>
      </c>
      <c r="H45" t="s">
        <v>156</v>
      </c>
      <c r="I45" t="s">
        <v>156</v>
      </c>
      <c r="J45" t="s">
        <v>156</v>
      </c>
      <c r="K45" t="s">
        <v>156</v>
      </c>
      <c r="L45" t="s">
        <v>157</v>
      </c>
      <c r="M45" t="s">
        <v>156</v>
      </c>
      <c r="N45" t="s">
        <v>156</v>
      </c>
      <c r="O45" t="s">
        <v>156</v>
      </c>
      <c r="P45" t="s">
        <v>157</v>
      </c>
      <c r="Q45" t="s">
        <v>156</v>
      </c>
      <c r="R45" t="s">
        <v>157</v>
      </c>
      <c r="S45" t="s">
        <v>156</v>
      </c>
      <c r="T45" t="s">
        <v>156</v>
      </c>
      <c r="U45" t="s">
        <v>156</v>
      </c>
      <c r="V45" t="s">
        <v>156</v>
      </c>
      <c r="W45" t="s">
        <v>156</v>
      </c>
      <c r="X45" t="s">
        <v>157</v>
      </c>
      <c r="Y45" t="s">
        <v>157</v>
      </c>
      <c r="Z45" t="s">
        <v>156</v>
      </c>
      <c r="AA45" t="s">
        <v>156</v>
      </c>
      <c r="AB45">
        <f t="shared" si="3"/>
        <v>17</v>
      </c>
      <c r="AC45">
        <f t="shared" si="4"/>
        <v>7</v>
      </c>
      <c r="AD45">
        <f t="shared" si="2"/>
        <v>70.833333333333343</v>
      </c>
    </row>
    <row r="46" spans="1:31" x14ac:dyDescent="0.2">
      <c r="A46">
        <v>2024</v>
      </c>
      <c r="B46" t="s">
        <v>58</v>
      </c>
      <c r="C46" t="s">
        <v>161</v>
      </c>
      <c r="D46" t="s">
        <v>157</v>
      </c>
      <c r="E46" t="s">
        <v>156</v>
      </c>
      <c r="F46" t="s">
        <v>156</v>
      </c>
      <c r="G46" t="s">
        <v>156</v>
      </c>
      <c r="H46" t="s">
        <v>156</v>
      </c>
      <c r="I46" t="s">
        <v>156</v>
      </c>
      <c r="J46" t="s">
        <v>156</v>
      </c>
      <c r="K46" t="s">
        <v>157</v>
      </c>
      <c r="L46" t="s">
        <v>157</v>
      </c>
      <c r="M46" t="s">
        <v>157</v>
      </c>
      <c r="N46" t="s">
        <v>157</v>
      </c>
      <c r="O46" t="s">
        <v>157</v>
      </c>
      <c r="P46" t="s">
        <v>157</v>
      </c>
      <c r="Q46" t="s">
        <v>157</v>
      </c>
      <c r="R46" t="s">
        <v>156</v>
      </c>
      <c r="S46" t="s">
        <v>156</v>
      </c>
      <c r="T46" t="s">
        <v>156</v>
      </c>
      <c r="U46" t="s">
        <v>156</v>
      </c>
      <c r="V46" t="s">
        <v>156</v>
      </c>
      <c r="W46" t="s">
        <v>156</v>
      </c>
      <c r="X46" t="s">
        <v>156</v>
      </c>
      <c r="Y46" t="s">
        <v>156</v>
      </c>
      <c r="Z46" t="s">
        <v>156</v>
      </c>
      <c r="AA46" t="s">
        <v>156</v>
      </c>
      <c r="AB46">
        <f t="shared" si="3"/>
        <v>16</v>
      </c>
      <c r="AC46">
        <f t="shared" si="4"/>
        <v>8</v>
      </c>
      <c r="AD46">
        <f t="shared" si="2"/>
        <v>66.666666666666657</v>
      </c>
    </row>
    <row r="47" spans="1:31" x14ac:dyDescent="0.2">
      <c r="A47">
        <v>2024</v>
      </c>
      <c r="B47" t="s">
        <v>61</v>
      </c>
      <c r="C47" t="s">
        <v>161</v>
      </c>
      <c r="D47" t="s">
        <v>157</v>
      </c>
      <c r="E47" t="s">
        <v>156</v>
      </c>
      <c r="F47" t="s">
        <v>156</v>
      </c>
      <c r="G47" t="s">
        <v>156</v>
      </c>
      <c r="H47" s="14" t="s">
        <v>162</v>
      </c>
      <c r="I47" t="s">
        <v>156</v>
      </c>
      <c r="J47" t="s">
        <v>156</v>
      </c>
      <c r="K47" t="s">
        <v>156</v>
      </c>
      <c r="L47" t="s">
        <v>156</v>
      </c>
      <c r="M47" t="s">
        <v>156</v>
      </c>
      <c r="N47" t="s">
        <v>156</v>
      </c>
      <c r="O47" t="s">
        <v>156</v>
      </c>
      <c r="P47" t="s">
        <v>156</v>
      </c>
      <c r="Q47" t="s">
        <v>156</v>
      </c>
      <c r="R47" t="s">
        <v>157</v>
      </c>
      <c r="S47" t="s">
        <v>156</v>
      </c>
      <c r="T47" t="s">
        <v>156</v>
      </c>
      <c r="U47" t="s">
        <v>156</v>
      </c>
      <c r="V47" t="s">
        <v>156</v>
      </c>
      <c r="W47" t="s">
        <v>156</v>
      </c>
      <c r="X47" t="s">
        <v>156</v>
      </c>
      <c r="Y47" t="s">
        <v>156</v>
      </c>
      <c r="Z47" t="s">
        <v>156</v>
      </c>
      <c r="AA47" t="s">
        <v>157</v>
      </c>
      <c r="AB47" s="14">
        <f t="shared" si="3"/>
        <v>20</v>
      </c>
      <c r="AC47" s="14">
        <f t="shared" si="4"/>
        <v>3</v>
      </c>
      <c r="AD47" s="14">
        <f t="shared" si="2"/>
        <v>83.333333333333343</v>
      </c>
      <c r="AE47" t="s">
        <v>347</v>
      </c>
    </row>
    <row r="49" spans="1:31" x14ac:dyDescent="0.2">
      <c r="AC49" t="s">
        <v>168</v>
      </c>
      <c r="AD49" t="s">
        <v>169</v>
      </c>
    </row>
    <row r="50" spans="1:31" x14ac:dyDescent="0.2">
      <c r="AB50">
        <v>2024</v>
      </c>
      <c r="AC50" t="s">
        <v>163</v>
      </c>
      <c r="AD50">
        <f>AVERAGE(AD3:AD47)</f>
        <v>71.959459459459453</v>
      </c>
      <c r="AE50" t="s">
        <v>170</v>
      </c>
    </row>
    <row r="51" spans="1:31" x14ac:dyDescent="0.2">
      <c r="AB51">
        <v>2024</v>
      </c>
      <c r="AC51" t="s">
        <v>164</v>
      </c>
      <c r="AD51">
        <f>AVERAGE(AD27:AD47)</f>
        <v>65.833333333333329</v>
      </c>
      <c r="AE51" t="s">
        <v>170</v>
      </c>
    </row>
    <row r="52" spans="1:31" x14ac:dyDescent="0.2">
      <c r="AB52">
        <v>2024</v>
      </c>
      <c r="AC52" t="s">
        <v>165</v>
      </c>
      <c r="AD52">
        <f>AVERAGE(AD3:AD24)</f>
        <v>78.6111111111111</v>
      </c>
      <c r="AE52" t="s">
        <v>170</v>
      </c>
    </row>
    <row r="54" spans="1:31" ht="16" x14ac:dyDescent="0.2">
      <c r="A54">
        <v>2025</v>
      </c>
      <c r="B54" s="143">
        <v>27</v>
      </c>
      <c r="C54" s="8" t="s">
        <v>161</v>
      </c>
      <c r="D54" s="8" t="s">
        <v>156</v>
      </c>
      <c r="E54" s="8" t="s">
        <v>156</v>
      </c>
      <c r="F54" s="8" t="s">
        <v>156</v>
      </c>
      <c r="G54" s="8" t="s">
        <v>156</v>
      </c>
      <c r="H54" s="8" t="s">
        <v>156</v>
      </c>
      <c r="I54" s="8" t="s">
        <v>156</v>
      </c>
      <c r="J54" s="8" t="s">
        <v>156</v>
      </c>
      <c r="K54" s="8" t="s">
        <v>156</v>
      </c>
      <c r="L54" s="8" t="s">
        <v>156</v>
      </c>
      <c r="M54" s="8" t="s">
        <v>156</v>
      </c>
      <c r="N54" s="8" t="s">
        <v>156</v>
      </c>
      <c r="O54" s="8" t="s">
        <v>157</v>
      </c>
      <c r="P54" s="8" t="s">
        <v>157</v>
      </c>
      <c r="Q54" s="8" t="s">
        <v>156</v>
      </c>
      <c r="R54" s="8" t="s">
        <v>156</v>
      </c>
      <c r="S54" s="8" t="s">
        <v>156</v>
      </c>
      <c r="T54" s="8" t="s">
        <v>156</v>
      </c>
      <c r="U54" s="8" t="s">
        <v>156</v>
      </c>
      <c r="V54" s="8" t="s">
        <v>156</v>
      </c>
      <c r="W54" s="8" t="s">
        <v>156</v>
      </c>
      <c r="X54" s="8" t="s">
        <v>156</v>
      </c>
      <c r="Y54" s="8" t="s">
        <v>156</v>
      </c>
      <c r="Z54" s="8" t="s">
        <v>156</v>
      </c>
      <c r="AA54" s="8" t="s">
        <v>156</v>
      </c>
      <c r="AB54" s="8">
        <f t="shared" ref="AB54:AB79" si="5">COUNTIF(D54:AA54,"yes")</f>
        <v>22</v>
      </c>
      <c r="AC54" s="8">
        <f t="shared" ref="AC54:AC79" si="6">COUNTIF(D54:AA54,"no")</f>
        <v>2</v>
      </c>
      <c r="AD54" s="144">
        <f t="shared" ref="AD54:AD79" si="7">AB54/24*100</f>
        <v>91.666666666666657</v>
      </c>
      <c r="AE54" s="8"/>
    </row>
    <row r="55" spans="1:31" ht="16" x14ac:dyDescent="0.2">
      <c r="A55">
        <v>2025</v>
      </c>
      <c r="B55" s="143">
        <v>28</v>
      </c>
      <c r="C55" s="8" t="s">
        <v>161</v>
      </c>
      <c r="D55" s="8" t="s">
        <v>157</v>
      </c>
      <c r="E55" s="8" t="s">
        <v>157</v>
      </c>
      <c r="F55" s="8" t="s">
        <v>156</v>
      </c>
      <c r="G55" s="8" t="s">
        <v>156</v>
      </c>
      <c r="H55" s="8" t="s">
        <v>156</v>
      </c>
      <c r="I55" s="8" t="s">
        <v>156</v>
      </c>
      <c r="J55" s="8" t="s">
        <v>156</v>
      </c>
      <c r="K55" s="8" t="s">
        <v>156</v>
      </c>
      <c r="L55" s="8" t="s">
        <v>156</v>
      </c>
      <c r="M55" s="8" t="s">
        <v>156</v>
      </c>
      <c r="N55" s="8" t="s">
        <v>156</v>
      </c>
      <c r="O55" s="8" t="s">
        <v>157</v>
      </c>
      <c r="P55" s="8" t="s">
        <v>157</v>
      </c>
      <c r="Q55" s="8" t="s">
        <v>156</v>
      </c>
      <c r="R55" s="8" t="s">
        <v>156</v>
      </c>
      <c r="S55" s="8" t="s">
        <v>156</v>
      </c>
      <c r="T55" s="8" t="s">
        <v>156</v>
      </c>
      <c r="U55" s="8" t="s">
        <v>156</v>
      </c>
      <c r="V55" s="8" t="s">
        <v>156</v>
      </c>
      <c r="W55" s="8" t="s">
        <v>156</v>
      </c>
      <c r="X55" s="8" t="s">
        <v>156</v>
      </c>
      <c r="Y55" s="8" t="s">
        <v>156</v>
      </c>
      <c r="Z55" s="8" t="s">
        <v>156</v>
      </c>
      <c r="AA55" s="8" t="s">
        <v>156</v>
      </c>
      <c r="AB55" s="8">
        <f t="shared" si="5"/>
        <v>20</v>
      </c>
      <c r="AC55" s="8">
        <f t="shared" si="6"/>
        <v>4</v>
      </c>
      <c r="AD55" s="144">
        <f t="shared" si="7"/>
        <v>83.333333333333343</v>
      </c>
      <c r="AE55" s="8"/>
    </row>
    <row r="56" spans="1:31" ht="16" x14ac:dyDescent="0.2">
      <c r="A56">
        <v>2025</v>
      </c>
      <c r="B56" s="143">
        <v>30</v>
      </c>
      <c r="C56" s="8" t="s">
        <v>161</v>
      </c>
      <c r="D56" s="8" t="s">
        <v>156</v>
      </c>
      <c r="E56" s="8" t="s">
        <v>156</v>
      </c>
      <c r="F56" s="8" t="s">
        <v>156</v>
      </c>
      <c r="G56" s="8" t="s">
        <v>156</v>
      </c>
      <c r="H56" s="8" t="s">
        <v>156</v>
      </c>
      <c r="I56" s="8" t="s">
        <v>156</v>
      </c>
      <c r="J56" s="8" t="s">
        <v>156</v>
      </c>
      <c r="K56" s="8" t="s">
        <v>156</v>
      </c>
      <c r="L56" s="8" t="s">
        <v>156</v>
      </c>
      <c r="M56" s="8" t="s">
        <v>156</v>
      </c>
      <c r="N56" s="8" t="s">
        <v>157</v>
      </c>
      <c r="O56" s="8" t="s">
        <v>157</v>
      </c>
      <c r="P56" s="8" t="s">
        <v>157</v>
      </c>
      <c r="Q56" s="8" t="s">
        <v>156</v>
      </c>
      <c r="R56" s="8" t="s">
        <v>156</v>
      </c>
      <c r="S56" s="8" t="s">
        <v>156</v>
      </c>
      <c r="T56" s="8" t="s">
        <v>156</v>
      </c>
      <c r="U56" s="8" t="s">
        <v>156</v>
      </c>
      <c r="V56" s="8" t="s">
        <v>156</v>
      </c>
      <c r="W56" s="8" t="s">
        <v>156</v>
      </c>
      <c r="X56" s="8" t="s">
        <v>156</v>
      </c>
      <c r="Y56" s="8" t="s">
        <v>156</v>
      </c>
      <c r="Z56" s="8" t="s">
        <v>156</v>
      </c>
      <c r="AA56" s="8" t="s">
        <v>156</v>
      </c>
      <c r="AB56" s="8">
        <f t="shared" si="5"/>
        <v>21</v>
      </c>
      <c r="AC56" s="8">
        <f t="shared" si="6"/>
        <v>3</v>
      </c>
      <c r="AD56" s="144">
        <f t="shared" si="7"/>
        <v>87.5</v>
      </c>
      <c r="AE56" s="8"/>
    </row>
    <row r="57" spans="1:31" ht="16" x14ac:dyDescent="0.2">
      <c r="A57">
        <v>2025</v>
      </c>
      <c r="B57" s="143">
        <v>44</v>
      </c>
      <c r="C57" s="8" t="s">
        <v>161</v>
      </c>
      <c r="D57" s="8" t="s">
        <v>157</v>
      </c>
      <c r="E57" s="8" t="s">
        <v>156</v>
      </c>
      <c r="F57" s="8" t="s">
        <v>156</v>
      </c>
      <c r="G57" s="8" t="s">
        <v>156</v>
      </c>
      <c r="H57" s="8" t="s">
        <v>156</v>
      </c>
      <c r="I57" s="8" t="s">
        <v>157</v>
      </c>
      <c r="J57" s="8" t="s">
        <v>157</v>
      </c>
      <c r="K57" s="8" t="s">
        <v>156</v>
      </c>
      <c r="L57" s="8" t="s">
        <v>156</v>
      </c>
      <c r="M57" s="8" t="s">
        <v>157</v>
      </c>
      <c r="N57" s="8" t="s">
        <v>157</v>
      </c>
      <c r="O57" s="8" t="s">
        <v>157</v>
      </c>
      <c r="P57" s="8" t="s">
        <v>157</v>
      </c>
      <c r="Q57" s="8" t="s">
        <v>157</v>
      </c>
      <c r="R57" s="8" t="s">
        <v>157</v>
      </c>
      <c r="S57" s="8" t="s">
        <v>157</v>
      </c>
      <c r="T57" s="8" t="s">
        <v>157</v>
      </c>
      <c r="U57" s="8" t="s">
        <v>157</v>
      </c>
      <c r="V57" s="8" t="s">
        <v>157</v>
      </c>
      <c r="W57" s="8" t="s">
        <v>157</v>
      </c>
      <c r="X57" s="8" t="s">
        <v>157</v>
      </c>
      <c r="Y57" s="8" t="s">
        <v>157</v>
      </c>
      <c r="Z57" s="8" t="s">
        <v>157</v>
      </c>
      <c r="AA57" s="8" t="s">
        <v>157</v>
      </c>
      <c r="AB57" s="8">
        <f t="shared" si="5"/>
        <v>6</v>
      </c>
      <c r="AC57" s="8">
        <f t="shared" si="6"/>
        <v>18</v>
      </c>
      <c r="AD57" s="144">
        <f t="shared" si="7"/>
        <v>25</v>
      </c>
      <c r="AE57" s="8"/>
    </row>
    <row r="58" spans="1:31" ht="16" x14ac:dyDescent="0.2">
      <c r="A58">
        <v>2025</v>
      </c>
      <c r="B58" s="143">
        <v>48</v>
      </c>
      <c r="C58" s="8" t="s">
        <v>161</v>
      </c>
      <c r="D58" s="8" t="s">
        <v>156</v>
      </c>
      <c r="E58" s="8" t="s">
        <v>156</v>
      </c>
      <c r="F58" s="8" t="s">
        <v>156</v>
      </c>
      <c r="G58" s="8" t="s">
        <v>156</v>
      </c>
      <c r="H58" s="8" t="s">
        <v>157</v>
      </c>
      <c r="I58" s="8" t="s">
        <v>157</v>
      </c>
      <c r="J58" s="8" t="s">
        <v>157</v>
      </c>
      <c r="K58" s="8" t="s">
        <v>157</v>
      </c>
      <c r="L58" s="8" t="s">
        <v>157</v>
      </c>
      <c r="M58" s="8" t="s">
        <v>157</v>
      </c>
      <c r="N58" s="8" t="s">
        <v>156</v>
      </c>
      <c r="O58" s="8" t="s">
        <v>157</v>
      </c>
      <c r="P58" s="8" t="s">
        <v>156</v>
      </c>
      <c r="Q58" s="8" t="s">
        <v>156</v>
      </c>
      <c r="R58" s="8" t="s">
        <v>156</v>
      </c>
      <c r="S58" s="8" t="s">
        <v>156</v>
      </c>
      <c r="T58" s="8" t="s">
        <v>156</v>
      </c>
      <c r="U58" s="8" t="s">
        <v>156</v>
      </c>
      <c r="V58" s="8" t="s">
        <v>156</v>
      </c>
      <c r="W58" s="8" t="s">
        <v>156</v>
      </c>
      <c r="X58" s="8" t="s">
        <v>156</v>
      </c>
      <c r="Y58" s="8" t="s">
        <v>156</v>
      </c>
      <c r="Z58" s="8" t="s">
        <v>156</v>
      </c>
      <c r="AA58" s="8" t="s">
        <v>156</v>
      </c>
      <c r="AB58" s="8">
        <f t="shared" si="5"/>
        <v>17</v>
      </c>
      <c r="AC58" s="8">
        <f t="shared" si="6"/>
        <v>7</v>
      </c>
      <c r="AD58" s="144">
        <f t="shared" si="7"/>
        <v>70.833333333333343</v>
      </c>
      <c r="AE58" s="8"/>
    </row>
    <row r="59" spans="1:31" ht="16" x14ac:dyDescent="0.2">
      <c r="A59">
        <v>2025</v>
      </c>
      <c r="B59" s="143">
        <v>61</v>
      </c>
      <c r="C59" s="8" t="s">
        <v>161</v>
      </c>
      <c r="D59" s="8" t="s">
        <v>156</v>
      </c>
      <c r="E59" s="8" t="s">
        <v>156</v>
      </c>
      <c r="F59" s="8" t="s">
        <v>156</v>
      </c>
      <c r="G59" s="8" t="s">
        <v>156</v>
      </c>
      <c r="H59" s="8" t="s">
        <v>156</v>
      </c>
      <c r="I59" s="8" t="s">
        <v>156</v>
      </c>
      <c r="J59" s="8" t="s">
        <v>156</v>
      </c>
      <c r="K59" s="8" t="s">
        <v>156</v>
      </c>
      <c r="L59" s="8" t="s">
        <v>156</v>
      </c>
      <c r="M59" s="8" t="s">
        <v>156</v>
      </c>
      <c r="N59" s="8" t="s">
        <v>156</v>
      </c>
      <c r="O59" s="8" t="s">
        <v>156</v>
      </c>
      <c r="P59" s="8" t="s">
        <v>156</v>
      </c>
      <c r="Q59" s="8" t="s">
        <v>156</v>
      </c>
      <c r="R59" s="8" t="s">
        <v>157</v>
      </c>
      <c r="S59" s="8" t="s">
        <v>156</v>
      </c>
      <c r="T59" s="8" t="s">
        <v>156</v>
      </c>
      <c r="U59" s="8" t="s">
        <v>156</v>
      </c>
      <c r="V59" s="8" t="s">
        <v>156</v>
      </c>
      <c r="W59" s="8" t="s">
        <v>156</v>
      </c>
      <c r="X59" s="8" t="s">
        <v>157</v>
      </c>
      <c r="Y59" s="8" t="s">
        <v>156</v>
      </c>
      <c r="Z59" s="8" t="s">
        <v>156</v>
      </c>
      <c r="AA59" s="8" t="s">
        <v>157</v>
      </c>
      <c r="AB59" s="8">
        <f t="shared" si="5"/>
        <v>21</v>
      </c>
      <c r="AC59" s="8">
        <f t="shared" si="6"/>
        <v>3</v>
      </c>
      <c r="AD59" s="144">
        <f t="shared" si="7"/>
        <v>87.5</v>
      </c>
      <c r="AE59" s="8"/>
    </row>
    <row r="60" spans="1:31" ht="16" x14ac:dyDescent="0.2">
      <c r="A60">
        <v>2025</v>
      </c>
      <c r="B60" s="143">
        <v>62</v>
      </c>
      <c r="C60" s="8" t="s">
        <v>161</v>
      </c>
      <c r="D60" s="8" t="s">
        <v>156</v>
      </c>
      <c r="E60" s="8" t="s">
        <v>156</v>
      </c>
      <c r="F60" s="8" t="s">
        <v>156</v>
      </c>
      <c r="G60" s="8" t="s">
        <v>157</v>
      </c>
      <c r="H60" s="8" t="s">
        <v>156</v>
      </c>
      <c r="I60" s="8" t="s">
        <v>157</v>
      </c>
      <c r="J60" s="8" t="s">
        <v>156</v>
      </c>
      <c r="K60" s="8" t="s">
        <v>156</v>
      </c>
      <c r="L60" s="8" t="s">
        <v>156</v>
      </c>
      <c r="M60" s="8" t="s">
        <v>157</v>
      </c>
      <c r="N60" s="8" t="s">
        <v>156</v>
      </c>
      <c r="O60" s="8" t="s">
        <v>156</v>
      </c>
      <c r="P60" s="8" t="s">
        <v>156</v>
      </c>
      <c r="Q60" s="8" t="s">
        <v>157</v>
      </c>
      <c r="R60" s="8" t="s">
        <v>156</v>
      </c>
      <c r="S60" s="8" t="s">
        <v>156</v>
      </c>
      <c r="T60" s="8" t="s">
        <v>156</v>
      </c>
      <c r="U60" s="8" t="s">
        <v>156</v>
      </c>
      <c r="V60" s="8" t="s">
        <v>156</v>
      </c>
      <c r="W60" s="8" t="s">
        <v>156</v>
      </c>
      <c r="X60" s="8" t="s">
        <v>156</v>
      </c>
      <c r="Y60" s="8" t="s">
        <v>156</v>
      </c>
      <c r="Z60" s="8" t="s">
        <v>156</v>
      </c>
      <c r="AA60" s="8" t="s">
        <v>156</v>
      </c>
      <c r="AB60" s="8">
        <f t="shared" si="5"/>
        <v>20</v>
      </c>
      <c r="AC60" s="8">
        <f t="shared" si="6"/>
        <v>4</v>
      </c>
      <c r="AD60" s="144">
        <f t="shared" si="7"/>
        <v>83.333333333333343</v>
      </c>
      <c r="AE60" s="8"/>
    </row>
    <row r="61" spans="1:31" ht="16" x14ac:dyDescent="0.2">
      <c r="A61">
        <v>2025</v>
      </c>
      <c r="B61" s="143">
        <v>71</v>
      </c>
      <c r="C61" s="8" t="s">
        <v>161</v>
      </c>
      <c r="D61" s="8" t="s">
        <v>156</v>
      </c>
      <c r="E61" s="8" t="s">
        <v>156</v>
      </c>
      <c r="F61" s="8" t="s">
        <v>156</v>
      </c>
      <c r="G61" s="8" t="s">
        <v>156</v>
      </c>
      <c r="H61" s="8" t="s">
        <v>157</v>
      </c>
      <c r="I61" s="8" t="s">
        <v>156</v>
      </c>
      <c r="J61" s="8" t="s">
        <v>156</v>
      </c>
      <c r="K61" s="8" t="s">
        <v>156</v>
      </c>
      <c r="L61" s="8" t="s">
        <v>156</v>
      </c>
      <c r="M61" s="8" t="s">
        <v>156</v>
      </c>
      <c r="N61" s="8" t="s">
        <v>156</v>
      </c>
      <c r="O61" s="8" t="s">
        <v>157</v>
      </c>
      <c r="P61" s="8" t="s">
        <v>156</v>
      </c>
      <c r="Q61" s="8" t="s">
        <v>156</v>
      </c>
      <c r="R61" s="8" t="s">
        <v>156</v>
      </c>
      <c r="S61" s="8" t="s">
        <v>156</v>
      </c>
      <c r="T61" s="8" t="s">
        <v>156</v>
      </c>
      <c r="U61" s="8" t="s">
        <v>156</v>
      </c>
      <c r="V61" s="8" t="s">
        <v>156</v>
      </c>
      <c r="W61" s="8" t="s">
        <v>156</v>
      </c>
      <c r="X61" s="8" t="s">
        <v>156</v>
      </c>
      <c r="Y61" s="8" t="s">
        <v>156</v>
      </c>
      <c r="Z61" s="8" t="s">
        <v>156</v>
      </c>
      <c r="AA61" s="8" t="s">
        <v>156</v>
      </c>
      <c r="AB61" s="8">
        <f t="shared" si="5"/>
        <v>22</v>
      </c>
      <c r="AC61" s="8">
        <f t="shared" si="6"/>
        <v>2</v>
      </c>
      <c r="AD61" s="144">
        <f t="shared" si="7"/>
        <v>91.666666666666657</v>
      </c>
      <c r="AE61" s="8"/>
    </row>
    <row r="62" spans="1:31" ht="16" x14ac:dyDescent="0.2">
      <c r="A62">
        <v>2025</v>
      </c>
      <c r="B62" s="143">
        <v>74</v>
      </c>
      <c r="C62" s="8" t="s">
        <v>161</v>
      </c>
      <c r="D62" s="8" t="s">
        <v>156</v>
      </c>
      <c r="E62" s="8" t="s">
        <v>156</v>
      </c>
      <c r="F62" s="8" t="s">
        <v>156</v>
      </c>
      <c r="G62" s="8" t="s">
        <v>156</v>
      </c>
      <c r="H62" s="8" t="s">
        <v>157</v>
      </c>
      <c r="I62" s="8" t="s">
        <v>156</v>
      </c>
      <c r="J62" s="8" t="s">
        <v>156</v>
      </c>
      <c r="K62" s="8" t="s">
        <v>156</v>
      </c>
      <c r="L62" s="8" t="s">
        <v>156</v>
      </c>
      <c r="M62" s="8" t="s">
        <v>156</v>
      </c>
      <c r="N62" s="8" t="s">
        <v>156</v>
      </c>
      <c r="O62" s="8" t="s">
        <v>156</v>
      </c>
      <c r="P62" s="8" t="s">
        <v>156</v>
      </c>
      <c r="Q62" s="8" t="s">
        <v>156</v>
      </c>
      <c r="R62" s="8" t="s">
        <v>156</v>
      </c>
      <c r="S62" s="8" t="s">
        <v>156</v>
      </c>
      <c r="T62" s="8" t="s">
        <v>156</v>
      </c>
      <c r="U62" s="8" t="s">
        <v>156</v>
      </c>
      <c r="V62" s="8" t="s">
        <v>156</v>
      </c>
      <c r="W62" s="8" t="s">
        <v>156</v>
      </c>
      <c r="X62" s="8" t="s">
        <v>156</v>
      </c>
      <c r="Y62" s="8" t="s">
        <v>156</v>
      </c>
      <c r="Z62" s="8" t="s">
        <v>156</v>
      </c>
      <c r="AA62" s="8" t="s">
        <v>156</v>
      </c>
      <c r="AB62" s="8">
        <f t="shared" si="5"/>
        <v>23</v>
      </c>
      <c r="AC62" s="8">
        <f t="shared" si="6"/>
        <v>1</v>
      </c>
      <c r="AD62" s="144">
        <f t="shared" si="7"/>
        <v>95.833333333333343</v>
      </c>
      <c r="AE62" s="8"/>
    </row>
    <row r="63" spans="1:31" ht="16" x14ac:dyDescent="0.2">
      <c r="A63">
        <v>2025</v>
      </c>
      <c r="B63" s="143">
        <v>75</v>
      </c>
      <c r="C63" s="8" t="s">
        <v>161</v>
      </c>
      <c r="D63" s="8" t="s">
        <v>156</v>
      </c>
      <c r="E63" s="8" t="s">
        <v>156</v>
      </c>
      <c r="F63" s="8" t="s">
        <v>156</v>
      </c>
      <c r="G63" s="8" t="s">
        <v>156</v>
      </c>
      <c r="H63" s="8" t="s">
        <v>157</v>
      </c>
      <c r="I63" s="8" t="s">
        <v>157</v>
      </c>
      <c r="J63" s="8" t="s">
        <v>156</v>
      </c>
      <c r="K63" s="8" t="s">
        <v>156</v>
      </c>
      <c r="L63" s="8" t="s">
        <v>156</v>
      </c>
      <c r="M63" s="8" t="s">
        <v>156</v>
      </c>
      <c r="N63" s="8" t="s">
        <v>156</v>
      </c>
      <c r="O63" s="8" t="s">
        <v>156</v>
      </c>
      <c r="P63" s="8" t="s">
        <v>156</v>
      </c>
      <c r="Q63" s="8" t="s">
        <v>156</v>
      </c>
      <c r="R63" s="8" t="s">
        <v>156</v>
      </c>
      <c r="S63" s="8" t="s">
        <v>156</v>
      </c>
      <c r="T63" s="8" t="s">
        <v>156</v>
      </c>
      <c r="U63" s="8" t="s">
        <v>156</v>
      </c>
      <c r="V63" s="8" t="s">
        <v>156</v>
      </c>
      <c r="W63" s="8" t="s">
        <v>156</v>
      </c>
      <c r="X63" s="8" t="s">
        <v>156</v>
      </c>
      <c r="Y63" s="8" t="s">
        <v>156</v>
      </c>
      <c r="Z63" s="8" t="s">
        <v>156</v>
      </c>
      <c r="AA63" s="8" t="s">
        <v>156</v>
      </c>
      <c r="AB63" s="8">
        <f t="shared" si="5"/>
        <v>22</v>
      </c>
      <c r="AC63" s="8">
        <f t="shared" si="6"/>
        <v>2</v>
      </c>
      <c r="AD63" s="144">
        <f t="shared" si="7"/>
        <v>91.666666666666657</v>
      </c>
      <c r="AE63" s="8"/>
    </row>
    <row r="64" spans="1:31" ht="16" x14ac:dyDescent="0.2">
      <c r="A64">
        <v>2025</v>
      </c>
      <c r="B64" s="143">
        <v>76</v>
      </c>
      <c r="C64" s="8" t="s">
        <v>161</v>
      </c>
      <c r="D64" s="8" t="s">
        <v>156</v>
      </c>
      <c r="E64" s="8" t="s">
        <v>156</v>
      </c>
      <c r="F64" s="8" t="s">
        <v>156</v>
      </c>
      <c r="G64" s="8" t="s">
        <v>156</v>
      </c>
      <c r="H64" s="8" t="s">
        <v>156</v>
      </c>
      <c r="I64" s="8" t="s">
        <v>157</v>
      </c>
      <c r="J64" s="8" t="s">
        <v>156</v>
      </c>
      <c r="K64" s="8" t="s">
        <v>156</v>
      </c>
      <c r="L64" s="8" t="s">
        <v>156</v>
      </c>
      <c r="M64" s="8" t="s">
        <v>156</v>
      </c>
      <c r="N64" s="8" t="s">
        <v>156</v>
      </c>
      <c r="O64" s="8" t="s">
        <v>156</v>
      </c>
      <c r="P64" s="8" t="s">
        <v>156</v>
      </c>
      <c r="Q64" s="8" t="s">
        <v>157</v>
      </c>
      <c r="R64" s="8" t="s">
        <v>156</v>
      </c>
      <c r="S64" s="8" t="s">
        <v>156</v>
      </c>
      <c r="T64" s="8" t="s">
        <v>156</v>
      </c>
      <c r="U64" s="8" t="s">
        <v>157</v>
      </c>
      <c r="V64" s="8" t="s">
        <v>156</v>
      </c>
      <c r="W64" s="8" t="s">
        <v>156</v>
      </c>
      <c r="X64" s="8" t="s">
        <v>156</v>
      </c>
      <c r="Y64" s="8" t="s">
        <v>156</v>
      </c>
      <c r="Z64" s="8" t="s">
        <v>156</v>
      </c>
      <c r="AA64" s="8" t="s">
        <v>156</v>
      </c>
      <c r="AB64" s="8">
        <f t="shared" si="5"/>
        <v>21</v>
      </c>
      <c r="AC64" s="8">
        <f t="shared" si="6"/>
        <v>3</v>
      </c>
      <c r="AD64" s="144">
        <f t="shared" si="7"/>
        <v>87.5</v>
      </c>
      <c r="AE64" s="8"/>
    </row>
    <row r="65" spans="1:32" ht="16" x14ac:dyDescent="0.2">
      <c r="A65">
        <v>2025</v>
      </c>
      <c r="B65" s="143">
        <v>78</v>
      </c>
      <c r="C65" s="8" t="s">
        <v>161</v>
      </c>
      <c r="D65" s="8" t="s">
        <v>156</v>
      </c>
      <c r="E65" s="8" t="s">
        <v>156</v>
      </c>
      <c r="F65" s="8" t="s">
        <v>156</v>
      </c>
      <c r="G65" s="8" t="s">
        <v>156</v>
      </c>
      <c r="H65" s="8" t="s">
        <v>157</v>
      </c>
      <c r="I65" s="8" t="s">
        <v>156</v>
      </c>
      <c r="J65" s="8" t="s">
        <v>156</v>
      </c>
      <c r="K65" s="8" t="s">
        <v>157</v>
      </c>
      <c r="L65" s="8" t="s">
        <v>156</v>
      </c>
      <c r="M65" s="8" t="s">
        <v>156</v>
      </c>
      <c r="N65" s="8" t="s">
        <v>156</v>
      </c>
      <c r="O65" s="8" t="s">
        <v>156</v>
      </c>
      <c r="P65" s="8" t="s">
        <v>156</v>
      </c>
      <c r="Q65" s="8" t="s">
        <v>156</v>
      </c>
      <c r="R65" s="8" t="s">
        <v>157</v>
      </c>
      <c r="S65" s="8" t="s">
        <v>156</v>
      </c>
      <c r="T65" s="8" t="s">
        <v>156</v>
      </c>
      <c r="U65" s="8" t="s">
        <v>157</v>
      </c>
      <c r="V65" s="8" t="s">
        <v>156</v>
      </c>
      <c r="W65" s="8" t="s">
        <v>156</v>
      </c>
      <c r="X65" s="8" t="s">
        <v>157</v>
      </c>
      <c r="Y65" s="8" t="s">
        <v>156</v>
      </c>
      <c r="Z65" s="8" t="s">
        <v>156</v>
      </c>
      <c r="AA65" s="8" t="s">
        <v>156</v>
      </c>
      <c r="AB65" s="8">
        <f t="shared" si="5"/>
        <v>19</v>
      </c>
      <c r="AC65" s="8">
        <f t="shared" si="6"/>
        <v>5</v>
      </c>
      <c r="AD65" s="144">
        <f t="shared" si="7"/>
        <v>79.166666666666657</v>
      </c>
      <c r="AE65" s="8"/>
    </row>
    <row r="66" spans="1:32" ht="16" x14ac:dyDescent="0.2">
      <c r="A66">
        <v>2025</v>
      </c>
      <c r="B66" s="143">
        <v>79</v>
      </c>
      <c r="C66" s="8" t="s">
        <v>161</v>
      </c>
      <c r="D66" s="8" t="s">
        <v>156</v>
      </c>
      <c r="E66" s="8" t="s">
        <v>156</v>
      </c>
      <c r="F66" s="8" t="s">
        <v>156</v>
      </c>
      <c r="G66" s="8" t="s">
        <v>157</v>
      </c>
      <c r="H66" s="8" t="s">
        <v>157</v>
      </c>
      <c r="I66" s="8" t="s">
        <v>157</v>
      </c>
      <c r="J66" s="8" t="s">
        <v>156</v>
      </c>
      <c r="K66" s="8" t="s">
        <v>156</v>
      </c>
      <c r="L66" s="8" t="s">
        <v>156</v>
      </c>
      <c r="M66" s="8" t="s">
        <v>156</v>
      </c>
      <c r="N66" s="8" t="s">
        <v>157</v>
      </c>
      <c r="O66" s="8" t="s">
        <v>157</v>
      </c>
      <c r="P66" s="8" t="s">
        <v>157</v>
      </c>
      <c r="Q66" s="8" t="s">
        <v>157</v>
      </c>
      <c r="R66" s="8" t="s">
        <v>157</v>
      </c>
      <c r="S66" s="8" t="s">
        <v>157</v>
      </c>
      <c r="T66" s="8" t="s">
        <v>157</v>
      </c>
      <c r="U66" s="8" t="s">
        <v>157</v>
      </c>
      <c r="V66" s="8" t="s">
        <v>157</v>
      </c>
      <c r="W66" s="8" t="s">
        <v>157</v>
      </c>
      <c r="X66" s="8" t="s">
        <v>157</v>
      </c>
      <c r="Y66" s="8" t="s">
        <v>157</v>
      </c>
      <c r="Z66" s="8" t="s">
        <v>157</v>
      </c>
      <c r="AA66" s="8" t="s">
        <v>157</v>
      </c>
      <c r="AB66" s="8">
        <f t="shared" si="5"/>
        <v>7</v>
      </c>
      <c r="AC66" s="8">
        <f t="shared" si="6"/>
        <v>17</v>
      </c>
      <c r="AD66" s="144">
        <f t="shared" si="7"/>
        <v>29.166666666666668</v>
      </c>
      <c r="AE66" s="8"/>
    </row>
    <row r="67" spans="1:32" ht="16" x14ac:dyDescent="0.2">
      <c r="A67">
        <v>2025</v>
      </c>
      <c r="B67" s="143">
        <v>96</v>
      </c>
      <c r="C67" s="8" t="s">
        <v>161</v>
      </c>
      <c r="D67" s="8" t="s">
        <v>156</v>
      </c>
      <c r="E67" s="8" t="s">
        <v>156</v>
      </c>
      <c r="F67" s="8" t="s">
        <v>156</v>
      </c>
      <c r="G67" s="8" t="s">
        <v>156</v>
      </c>
      <c r="H67" s="8" t="s">
        <v>156</v>
      </c>
      <c r="I67" s="8" t="s">
        <v>156</v>
      </c>
      <c r="J67" s="8" t="s">
        <v>156</v>
      </c>
      <c r="K67" s="8" t="s">
        <v>157</v>
      </c>
      <c r="L67" s="8" t="s">
        <v>157</v>
      </c>
      <c r="M67" s="8" t="s">
        <v>157</v>
      </c>
      <c r="N67" s="8" t="s">
        <v>156</v>
      </c>
      <c r="O67" s="8" t="s">
        <v>156</v>
      </c>
      <c r="P67" s="8" t="s">
        <v>156</v>
      </c>
      <c r="Q67" s="8" t="s">
        <v>156</v>
      </c>
      <c r="R67" s="8" t="s">
        <v>156</v>
      </c>
      <c r="S67" s="8" t="s">
        <v>156</v>
      </c>
      <c r="T67" s="8" t="s">
        <v>156</v>
      </c>
      <c r="U67" s="8" t="s">
        <v>156</v>
      </c>
      <c r="V67" s="8" t="s">
        <v>157</v>
      </c>
      <c r="W67" s="8" t="s">
        <v>157</v>
      </c>
      <c r="X67" s="8" t="s">
        <v>156</v>
      </c>
      <c r="Y67" s="8" t="s">
        <v>156</v>
      </c>
      <c r="Z67" s="8" t="s">
        <v>156</v>
      </c>
      <c r="AA67" s="8" t="s">
        <v>156</v>
      </c>
      <c r="AB67" s="8">
        <f t="shared" si="5"/>
        <v>19</v>
      </c>
      <c r="AC67" s="8">
        <f t="shared" si="6"/>
        <v>5</v>
      </c>
      <c r="AD67" s="144">
        <f t="shared" si="7"/>
        <v>79.166666666666657</v>
      </c>
      <c r="AE67" s="8"/>
    </row>
    <row r="68" spans="1:32" ht="16" x14ac:dyDescent="0.2">
      <c r="A68">
        <v>2025</v>
      </c>
      <c r="B68" s="143">
        <v>97</v>
      </c>
      <c r="C68" s="8" t="s">
        <v>161</v>
      </c>
      <c r="D68" s="8" t="s">
        <v>156</v>
      </c>
      <c r="E68" s="8" t="s">
        <v>156</v>
      </c>
      <c r="F68" s="8" t="s">
        <v>156</v>
      </c>
      <c r="G68" s="8" t="s">
        <v>156</v>
      </c>
      <c r="H68" s="8" t="s">
        <v>156</v>
      </c>
      <c r="I68" s="8" t="s">
        <v>156</v>
      </c>
      <c r="J68" s="8" t="s">
        <v>156</v>
      </c>
      <c r="K68" s="8" t="s">
        <v>156</v>
      </c>
      <c r="L68" s="8" t="s">
        <v>156</v>
      </c>
      <c r="M68" s="8" t="s">
        <v>156</v>
      </c>
      <c r="N68" s="8" t="s">
        <v>156</v>
      </c>
      <c r="O68" s="8" t="s">
        <v>156</v>
      </c>
      <c r="P68" s="8" t="s">
        <v>156</v>
      </c>
      <c r="Q68" s="8" t="s">
        <v>156</v>
      </c>
      <c r="R68" s="8" t="s">
        <v>156</v>
      </c>
      <c r="S68" s="8" t="s">
        <v>156</v>
      </c>
      <c r="T68" s="8" t="s">
        <v>156</v>
      </c>
      <c r="U68" s="8" t="s">
        <v>156</v>
      </c>
      <c r="V68" s="8" t="s">
        <v>157</v>
      </c>
      <c r="W68" s="8" t="s">
        <v>156</v>
      </c>
      <c r="X68" s="8" t="s">
        <v>156</v>
      </c>
      <c r="Y68" s="8" t="s">
        <v>156</v>
      </c>
      <c r="Z68" s="8" t="s">
        <v>156</v>
      </c>
      <c r="AA68" s="8" t="s">
        <v>156</v>
      </c>
      <c r="AB68" s="8">
        <f t="shared" si="5"/>
        <v>23</v>
      </c>
      <c r="AC68" s="8">
        <f t="shared" si="6"/>
        <v>1</v>
      </c>
      <c r="AD68" s="144">
        <f t="shared" si="7"/>
        <v>95.833333333333343</v>
      </c>
      <c r="AE68" s="8"/>
    </row>
    <row r="69" spans="1:32" ht="16" x14ac:dyDescent="0.2">
      <c r="A69" s="58">
        <v>2025</v>
      </c>
      <c r="B69" s="143">
        <v>29</v>
      </c>
      <c r="C69" s="145" t="s">
        <v>155</v>
      </c>
      <c r="D69" s="146" t="s">
        <v>526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>
        <f t="shared" si="5"/>
        <v>0</v>
      </c>
      <c r="AC69" s="8">
        <f t="shared" si="6"/>
        <v>0</v>
      </c>
      <c r="AD69" s="144">
        <f t="shared" si="7"/>
        <v>0</v>
      </c>
      <c r="AE69" s="8"/>
      <c r="AF69" s="58" t="s">
        <v>527</v>
      </c>
    </row>
    <row r="70" spans="1:32" ht="16" x14ac:dyDescent="0.2">
      <c r="A70" s="58">
        <v>2025</v>
      </c>
      <c r="B70" s="143">
        <v>45</v>
      </c>
      <c r="C70" s="145" t="s">
        <v>155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>
        <f t="shared" si="5"/>
        <v>0</v>
      </c>
      <c r="AC70" s="8">
        <f t="shared" si="6"/>
        <v>0</v>
      </c>
      <c r="AD70" s="144">
        <f t="shared" si="7"/>
        <v>0</v>
      </c>
      <c r="AE70" s="8"/>
      <c r="AF70" s="58" t="s">
        <v>527</v>
      </c>
    </row>
    <row r="71" spans="1:32" ht="16" x14ac:dyDescent="0.2">
      <c r="A71" s="55">
        <v>2025</v>
      </c>
      <c r="B71" s="143">
        <v>46</v>
      </c>
      <c r="C71" s="145" t="s">
        <v>155</v>
      </c>
      <c r="D71" s="8" t="s">
        <v>156</v>
      </c>
      <c r="E71" s="8" t="s">
        <v>156</v>
      </c>
      <c r="F71" s="8" t="s">
        <v>156</v>
      </c>
      <c r="G71" s="8" t="s">
        <v>156</v>
      </c>
      <c r="H71" s="8" t="s">
        <v>156</v>
      </c>
      <c r="I71" s="8" t="s">
        <v>156</v>
      </c>
      <c r="J71" s="8" t="s">
        <v>156</v>
      </c>
      <c r="K71" s="8" t="s">
        <v>156</v>
      </c>
      <c r="L71" s="8" t="s">
        <v>156</v>
      </c>
      <c r="M71" s="8" t="s">
        <v>157</v>
      </c>
      <c r="N71" s="8" t="s">
        <v>156</v>
      </c>
      <c r="O71" s="8" t="s">
        <v>156</v>
      </c>
      <c r="P71" s="8" t="s">
        <v>156</v>
      </c>
      <c r="Q71" s="8" t="s">
        <v>156</v>
      </c>
      <c r="R71" s="8" t="s">
        <v>157</v>
      </c>
      <c r="S71" s="8" t="s">
        <v>157</v>
      </c>
      <c r="T71" s="8" t="s">
        <v>156</v>
      </c>
      <c r="U71" s="8" t="s">
        <v>157</v>
      </c>
      <c r="V71" s="8" t="s">
        <v>157</v>
      </c>
      <c r="W71" s="8" t="s">
        <v>157</v>
      </c>
      <c r="X71" s="8" t="s">
        <v>157</v>
      </c>
      <c r="Y71" s="8" t="s">
        <v>156</v>
      </c>
      <c r="Z71" s="8" t="s">
        <v>156</v>
      </c>
      <c r="AA71" s="8" t="s">
        <v>156</v>
      </c>
      <c r="AB71" s="8">
        <f t="shared" si="5"/>
        <v>17</v>
      </c>
      <c r="AC71" s="8">
        <f t="shared" si="6"/>
        <v>7</v>
      </c>
      <c r="AD71" s="144">
        <f t="shared" si="7"/>
        <v>70.833333333333343</v>
      </c>
      <c r="AE71" s="8"/>
      <c r="AF71" s="58"/>
    </row>
    <row r="72" spans="1:32" ht="16" x14ac:dyDescent="0.2">
      <c r="A72" s="58">
        <v>2025</v>
      </c>
      <c r="B72" s="143">
        <v>47</v>
      </c>
      <c r="C72" s="145" t="s">
        <v>155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>
        <f t="shared" si="5"/>
        <v>0</v>
      </c>
      <c r="AC72" s="8">
        <f t="shared" si="6"/>
        <v>0</v>
      </c>
      <c r="AD72" s="144">
        <f t="shared" si="7"/>
        <v>0</v>
      </c>
      <c r="AE72" s="8"/>
      <c r="AF72" s="58" t="s">
        <v>527</v>
      </c>
    </row>
    <row r="73" spans="1:32" ht="16" x14ac:dyDescent="0.2">
      <c r="A73" s="58">
        <v>2025</v>
      </c>
      <c r="B73" s="143">
        <v>63</v>
      </c>
      <c r="C73" s="145" t="s">
        <v>155</v>
      </c>
      <c r="D73" s="8" t="s">
        <v>156</v>
      </c>
      <c r="E73" s="8" t="s">
        <v>156</v>
      </c>
      <c r="F73" s="8" t="s">
        <v>156</v>
      </c>
      <c r="G73" s="8" t="s">
        <v>156</v>
      </c>
      <c r="H73" s="8" t="s">
        <v>156</v>
      </c>
      <c r="I73" s="8" t="s">
        <v>156</v>
      </c>
      <c r="J73" s="8" t="s">
        <v>156</v>
      </c>
      <c r="K73" s="8" t="s">
        <v>156</v>
      </c>
      <c r="L73" s="8" t="s">
        <v>156</v>
      </c>
      <c r="M73" s="8" t="s">
        <v>156</v>
      </c>
      <c r="N73" s="8" t="s">
        <v>156</v>
      </c>
      <c r="O73" s="8" t="s">
        <v>156</v>
      </c>
      <c r="P73" s="8" t="s">
        <v>156</v>
      </c>
      <c r="Q73" s="8" t="s">
        <v>156</v>
      </c>
      <c r="R73" s="8" t="s">
        <v>156</v>
      </c>
      <c r="S73" s="8" t="s">
        <v>156</v>
      </c>
      <c r="T73" s="8" t="s">
        <v>156</v>
      </c>
      <c r="U73" s="8" t="s">
        <v>156</v>
      </c>
      <c r="V73" s="8" t="s">
        <v>156</v>
      </c>
      <c r="W73" s="8" t="s">
        <v>156</v>
      </c>
      <c r="X73" s="8" t="s">
        <v>156</v>
      </c>
      <c r="Y73" s="8" t="s">
        <v>156</v>
      </c>
      <c r="Z73" s="8" t="s">
        <v>157</v>
      </c>
      <c r="AA73" s="8" t="s">
        <v>157</v>
      </c>
      <c r="AB73" s="8">
        <f t="shared" si="5"/>
        <v>22</v>
      </c>
      <c r="AC73" s="8">
        <f t="shared" si="6"/>
        <v>2</v>
      </c>
      <c r="AD73" s="144">
        <f t="shared" si="7"/>
        <v>91.666666666666657</v>
      </c>
      <c r="AE73" s="8"/>
      <c r="AF73" s="58"/>
    </row>
    <row r="74" spans="1:32" ht="16" x14ac:dyDescent="0.2">
      <c r="A74" s="58">
        <v>2025</v>
      </c>
      <c r="B74" s="143">
        <v>72</v>
      </c>
      <c r="C74" s="145" t="s">
        <v>155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>
        <f t="shared" si="5"/>
        <v>0</v>
      </c>
      <c r="AC74" s="8">
        <f t="shared" si="6"/>
        <v>0</v>
      </c>
      <c r="AD74" s="144">
        <f t="shared" si="7"/>
        <v>0</v>
      </c>
      <c r="AE74" s="8"/>
      <c r="AF74" s="58" t="s">
        <v>527</v>
      </c>
    </row>
    <row r="75" spans="1:32" ht="16" x14ac:dyDescent="0.2">
      <c r="A75" s="58">
        <v>2025</v>
      </c>
      <c r="B75" s="143">
        <v>73</v>
      </c>
      <c r="C75" s="145" t="s">
        <v>155</v>
      </c>
      <c r="D75" s="8" t="s">
        <v>156</v>
      </c>
      <c r="E75" s="8" t="s">
        <v>156</v>
      </c>
      <c r="F75" s="8" t="s">
        <v>156</v>
      </c>
      <c r="G75" s="8" t="s">
        <v>156</v>
      </c>
      <c r="H75" s="8" t="s">
        <v>156</v>
      </c>
      <c r="I75" s="8" t="s">
        <v>156</v>
      </c>
      <c r="J75" s="8" t="s">
        <v>156</v>
      </c>
      <c r="K75" s="8" t="s">
        <v>156</v>
      </c>
      <c r="L75" s="8" t="s">
        <v>156</v>
      </c>
      <c r="M75" s="8" t="s">
        <v>156</v>
      </c>
      <c r="N75" s="8" t="s">
        <v>156</v>
      </c>
      <c r="O75" s="8" t="s">
        <v>156</v>
      </c>
      <c r="P75" s="8" t="s">
        <v>157</v>
      </c>
      <c r="Q75" s="8" t="s">
        <v>156</v>
      </c>
      <c r="R75" s="8" t="s">
        <v>156</v>
      </c>
      <c r="S75" s="8" t="s">
        <v>156</v>
      </c>
      <c r="T75" s="8" t="s">
        <v>156</v>
      </c>
      <c r="U75" s="8" t="s">
        <v>156</v>
      </c>
      <c r="V75" s="8" t="s">
        <v>156</v>
      </c>
      <c r="W75" s="8" t="s">
        <v>156</v>
      </c>
      <c r="X75" s="8" t="s">
        <v>156</v>
      </c>
      <c r="Y75" s="8" t="s">
        <v>156</v>
      </c>
      <c r="Z75" s="8" t="s">
        <v>156</v>
      </c>
      <c r="AA75" s="8" t="s">
        <v>156</v>
      </c>
      <c r="AB75" s="8">
        <f t="shared" si="5"/>
        <v>23</v>
      </c>
      <c r="AC75" s="8">
        <f t="shared" si="6"/>
        <v>1</v>
      </c>
      <c r="AD75" s="144">
        <f t="shared" si="7"/>
        <v>95.833333333333343</v>
      </c>
      <c r="AE75" s="8"/>
      <c r="AF75" s="58"/>
    </row>
    <row r="76" spans="1:32" ht="16" x14ac:dyDescent="0.2">
      <c r="A76" s="58">
        <v>2025</v>
      </c>
      <c r="B76" s="143">
        <v>77</v>
      </c>
      <c r="C76" s="145" t="s">
        <v>155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>
        <f t="shared" si="5"/>
        <v>0</v>
      </c>
      <c r="AC76" s="8">
        <f t="shared" si="6"/>
        <v>0</v>
      </c>
      <c r="AD76" s="144">
        <f t="shared" si="7"/>
        <v>0</v>
      </c>
      <c r="AE76" s="8"/>
      <c r="AF76" s="58" t="s">
        <v>527</v>
      </c>
    </row>
    <row r="77" spans="1:32" ht="16" x14ac:dyDescent="0.2">
      <c r="A77" s="58">
        <v>2025</v>
      </c>
      <c r="B77" s="143">
        <v>80</v>
      </c>
      <c r="C77" s="145" t="s">
        <v>155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>
        <f t="shared" si="5"/>
        <v>0</v>
      </c>
      <c r="AC77" s="8">
        <f t="shared" si="6"/>
        <v>0</v>
      </c>
      <c r="AD77" s="144">
        <f t="shared" si="7"/>
        <v>0</v>
      </c>
      <c r="AE77" s="8"/>
      <c r="AF77" s="58" t="s">
        <v>527</v>
      </c>
    </row>
    <row r="78" spans="1:32" ht="16" x14ac:dyDescent="0.2">
      <c r="A78" s="58">
        <v>2025</v>
      </c>
      <c r="B78" s="143">
        <v>98</v>
      </c>
      <c r="C78" s="145" t="s">
        <v>155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>
        <f t="shared" si="5"/>
        <v>0</v>
      </c>
      <c r="AC78" s="8">
        <f t="shared" si="6"/>
        <v>0</v>
      </c>
      <c r="AD78" s="144">
        <f t="shared" si="7"/>
        <v>0</v>
      </c>
      <c r="AE78" s="8"/>
      <c r="AF78" s="58" t="s">
        <v>527</v>
      </c>
    </row>
    <row r="79" spans="1:32" ht="16" x14ac:dyDescent="0.2">
      <c r="A79" s="58">
        <v>2025</v>
      </c>
      <c r="B79" s="143">
        <v>99</v>
      </c>
      <c r="C79" s="145" t="s">
        <v>155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>
        <f t="shared" si="5"/>
        <v>0</v>
      </c>
      <c r="AC79" s="8">
        <f t="shared" si="6"/>
        <v>0</v>
      </c>
      <c r="AD79" s="144">
        <f t="shared" si="7"/>
        <v>0</v>
      </c>
      <c r="AE79" s="8"/>
      <c r="AF79" s="58" t="s">
        <v>527</v>
      </c>
    </row>
    <row r="81" spans="28:33" x14ac:dyDescent="0.2">
      <c r="AC81" t="s">
        <v>168</v>
      </c>
      <c r="AD81" t="s">
        <v>169</v>
      </c>
    </row>
    <row r="82" spans="28:33" x14ac:dyDescent="0.2">
      <c r="AB82">
        <v>2025</v>
      </c>
      <c r="AC82" t="s">
        <v>163</v>
      </c>
      <c r="AD82" s="10">
        <f>AVERAGE(AD54:AD79)</f>
        <v>55.288461538461533</v>
      </c>
      <c r="AE82" t="s">
        <v>170</v>
      </c>
      <c r="AF82" s="58" t="s">
        <v>528</v>
      </c>
      <c r="AG82" t="s">
        <v>530</v>
      </c>
    </row>
    <row r="83" spans="28:33" x14ac:dyDescent="0.2">
      <c r="AB83">
        <v>2025</v>
      </c>
      <c r="AC83" t="s">
        <v>164</v>
      </c>
      <c r="AD83" s="10">
        <f>AVERAGE(AD54:AD68)</f>
        <v>78.6111111111111</v>
      </c>
      <c r="AE83" t="s">
        <v>170</v>
      </c>
      <c r="AG83" t="s">
        <v>530</v>
      </c>
    </row>
    <row r="84" spans="28:33" x14ac:dyDescent="0.2">
      <c r="AB84">
        <v>2025</v>
      </c>
      <c r="AC84" t="s">
        <v>165</v>
      </c>
      <c r="AD84" s="10">
        <f>AVERAGE(AD69:AD79)</f>
        <v>23.484848484848488</v>
      </c>
      <c r="AE84" t="s">
        <v>170</v>
      </c>
      <c r="AF84" s="58" t="s">
        <v>528</v>
      </c>
      <c r="AG84" t="s">
        <v>530</v>
      </c>
    </row>
    <row r="87" spans="28:33" x14ac:dyDescent="0.2">
      <c r="AB87" t="s">
        <v>529</v>
      </c>
      <c r="AC87" t="s">
        <v>163</v>
      </c>
      <c r="AD87" s="10">
        <f>AVERAGE(AD3:AD47,AD54:AD79)</f>
        <v>65.079365079365076</v>
      </c>
      <c r="AE87" t="s">
        <v>170</v>
      </c>
      <c r="AF87" s="58" t="s">
        <v>528</v>
      </c>
      <c r="AG87" t="s">
        <v>530</v>
      </c>
    </row>
    <row r="88" spans="28:33" x14ac:dyDescent="0.2">
      <c r="AB88" t="s">
        <v>529</v>
      </c>
      <c r="AC88" t="s">
        <v>164</v>
      </c>
      <c r="AD88" s="10">
        <f>AVERAGE(AD27:AD47,AD54:AD68)</f>
        <v>71.309523809523782</v>
      </c>
      <c r="AE88" t="s">
        <v>170</v>
      </c>
      <c r="AG88" t="s">
        <v>530</v>
      </c>
    </row>
    <row r="89" spans="28:33" x14ac:dyDescent="0.2">
      <c r="AB89" t="s">
        <v>529</v>
      </c>
      <c r="AC89" t="s">
        <v>165</v>
      </c>
      <c r="AD89" s="10">
        <f>AVERAGE(AD3:AD26,AD69:AD79)</f>
        <v>57.291666666666664</v>
      </c>
      <c r="AE89" t="s">
        <v>170</v>
      </c>
      <c r="AF89" s="58" t="s">
        <v>528</v>
      </c>
      <c r="AG89" t="s">
        <v>530</v>
      </c>
    </row>
  </sheetData>
  <sortState xmlns:xlrd2="http://schemas.microsoft.com/office/spreadsheetml/2017/richdata2" ref="A54:AE79">
    <sortCondition descending="1" ref="C54:C7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F12B-B4DB-4CBD-BCEB-8333F806F42B}">
  <dimension ref="A1:R13"/>
  <sheetViews>
    <sheetView workbookViewId="0">
      <selection activeCell="F41" sqref="F41"/>
    </sheetView>
  </sheetViews>
  <sheetFormatPr baseColWidth="10" defaultRowHeight="15" x14ac:dyDescent="0.2"/>
  <cols>
    <col min="4" max="4" width="14" bestFit="1" customWidth="1"/>
    <col min="5" max="5" width="17.33203125" bestFit="1" customWidth="1"/>
    <col min="6" max="6" width="23.1640625" bestFit="1" customWidth="1"/>
    <col min="7" max="7" width="11" bestFit="1" customWidth="1"/>
  </cols>
  <sheetData>
    <row r="1" spans="1:18" x14ac:dyDescent="0.2">
      <c r="A1" s="79" t="s">
        <v>82</v>
      </c>
      <c r="B1" s="79" t="s">
        <v>376</v>
      </c>
      <c r="C1" s="79" t="s">
        <v>171</v>
      </c>
      <c r="D1" s="79" t="s">
        <v>377</v>
      </c>
      <c r="E1" s="79" t="s">
        <v>378</v>
      </c>
      <c r="F1" s="79" t="s">
        <v>379</v>
      </c>
      <c r="G1" s="79" t="s">
        <v>380</v>
      </c>
      <c r="H1" s="79" t="s">
        <v>381</v>
      </c>
      <c r="I1" s="47" t="s">
        <v>382</v>
      </c>
      <c r="J1" s="47" t="s">
        <v>383</v>
      </c>
      <c r="K1" s="47" t="s">
        <v>384</v>
      </c>
      <c r="L1" s="47" t="s">
        <v>385</v>
      </c>
      <c r="M1" s="47" t="s">
        <v>386</v>
      </c>
      <c r="N1" s="47" t="s">
        <v>387</v>
      </c>
      <c r="O1" t="s">
        <v>388</v>
      </c>
      <c r="P1" t="s">
        <v>389</v>
      </c>
      <c r="Q1" t="s">
        <v>390</v>
      </c>
      <c r="R1" s="79" t="s">
        <v>391</v>
      </c>
    </row>
    <row r="2" spans="1:18" x14ac:dyDescent="0.2">
      <c r="A2" s="79" t="s">
        <v>82</v>
      </c>
      <c r="B2" s="79" t="s">
        <v>392</v>
      </c>
      <c r="C2" s="79"/>
      <c r="D2" s="79" t="s">
        <v>393</v>
      </c>
      <c r="E2" s="79" t="s">
        <v>394</v>
      </c>
      <c r="F2" s="79" t="s">
        <v>395</v>
      </c>
      <c r="G2" s="79" t="s">
        <v>396</v>
      </c>
      <c r="H2" s="79" t="s">
        <v>397</v>
      </c>
      <c r="I2" s="47"/>
      <c r="J2" s="47"/>
      <c r="K2" s="47"/>
      <c r="L2" s="47"/>
      <c r="M2" s="47"/>
      <c r="N2" s="47"/>
      <c r="O2" t="s">
        <v>398</v>
      </c>
      <c r="P2" t="s">
        <v>399</v>
      </c>
      <c r="Q2" t="s">
        <v>390</v>
      </c>
      <c r="R2" s="79" t="s">
        <v>400</v>
      </c>
    </row>
    <row r="3" spans="1:18" x14ac:dyDescent="0.2">
      <c r="A3" t="s">
        <v>401</v>
      </c>
      <c r="B3" t="s">
        <v>402</v>
      </c>
      <c r="D3" t="s">
        <v>100</v>
      </c>
      <c r="O3" t="e">
        <f>AVERAGE(I3,K3,M3)</f>
        <v>#DIV/0!</v>
      </c>
      <c r="P3" t="e">
        <f>AVERAGE(J3,L3,N3)</f>
        <v>#DIV/0!</v>
      </c>
    </row>
    <row r="4" spans="1:18" x14ac:dyDescent="0.2">
      <c r="D4" t="s">
        <v>104</v>
      </c>
    </row>
    <row r="5" spans="1:18" x14ac:dyDescent="0.2">
      <c r="D5" t="s">
        <v>403</v>
      </c>
    </row>
    <row r="6" spans="1:18" x14ac:dyDescent="0.2">
      <c r="A6">
        <v>312</v>
      </c>
      <c r="B6" s="80">
        <v>45544</v>
      </c>
      <c r="C6" s="81">
        <v>0.41666666666666669</v>
      </c>
      <c r="D6" t="s">
        <v>100</v>
      </c>
      <c r="E6" t="s">
        <v>407</v>
      </c>
      <c r="F6">
        <v>7</v>
      </c>
      <c r="G6">
        <v>80</v>
      </c>
      <c r="H6" t="s">
        <v>404</v>
      </c>
    </row>
    <row r="7" spans="1:18" x14ac:dyDescent="0.2">
      <c r="A7">
        <v>312</v>
      </c>
      <c r="B7" s="80">
        <v>45618</v>
      </c>
      <c r="C7" s="80"/>
      <c r="D7" t="s">
        <v>104</v>
      </c>
      <c r="E7" t="s">
        <v>407</v>
      </c>
      <c r="F7">
        <v>7</v>
      </c>
      <c r="G7">
        <v>80</v>
      </c>
      <c r="H7" t="s">
        <v>405</v>
      </c>
    </row>
    <row r="8" spans="1:18" x14ac:dyDescent="0.2">
      <c r="A8">
        <v>19</v>
      </c>
      <c r="C8" s="81">
        <v>0.3888888888888889</v>
      </c>
      <c r="D8" t="s">
        <v>100</v>
      </c>
      <c r="E8" t="s">
        <v>406</v>
      </c>
      <c r="F8">
        <v>7</v>
      </c>
      <c r="G8">
        <v>80</v>
      </c>
      <c r="H8" t="s">
        <v>408</v>
      </c>
    </row>
    <row r="9" spans="1:18" x14ac:dyDescent="0.2">
      <c r="A9">
        <v>19</v>
      </c>
      <c r="B9" s="80">
        <v>45646</v>
      </c>
      <c r="D9" t="s">
        <v>104</v>
      </c>
      <c r="E9" t="s">
        <v>406</v>
      </c>
      <c r="F9">
        <v>7</v>
      </c>
      <c r="G9">
        <v>80</v>
      </c>
      <c r="H9" t="s">
        <v>409</v>
      </c>
    </row>
    <row r="10" spans="1:18" x14ac:dyDescent="0.2">
      <c r="A10">
        <v>51</v>
      </c>
      <c r="B10" s="80">
        <v>45540</v>
      </c>
      <c r="C10" s="81">
        <v>0.4375</v>
      </c>
      <c r="D10" t="s">
        <v>100</v>
      </c>
      <c r="E10" t="s">
        <v>410</v>
      </c>
      <c r="F10">
        <v>5</v>
      </c>
      <c r="G10">
        <v>100</v>
      </c>
      <c r="H10" t="s">
        <v>404</v>
      </c>
      <c r="R10" t="s">
        <v>411</v>
      </c>
    </row>
    <row r="11" spans="1:18" x14ac:dyDescent="0.2">
      <c r="A11">
        <v>51</v>
      </c>
      <c r="B11" s="80">
        <v>45644</v>
      </c>
      <c r="C11" s="81">
        <v>0.40972222222222221</v>
      </c>
      <c r="D11" t="s">
        <v>104</v>
      </c>
      <c r="E11" t="s">
        <v>407</v>
      </c>
      <c r="F11">
        <v>5</v>
      </c>
      <c r="G11">
        <v>100</v>
      </c>
      <c r="H11" t="s">
        <v>409</v>
      </c>
    </row>
    <row r="12" spans="1:18" x14ac:dyDescent="0.2">
      <c r="A12">
        <v>207</v>
      </c>
      <c r="B12" s="80">
        <v>45547</v>
      </c>
      <c r="C12" s="81">
        <v>0.38194444444444442</v>
      </c>
      <c r="D12" t="s">
        <v>100</v>
      </c>
      <c r="E12" t="s">
        <v>407</v>
      </c>
      <c r="F12">
        <v>7</v>
      </c>
      <c r="G12">
        <v>80</v>
      </c>
      <c r="H12" t="s">
        <v>408</v>
      </c>
    </row>
    <row r="13" spans="1:18" x14ac:dyDescent="0.2">
      <c r="A13">
        <v>207</v>
      </c>
      <c r="B13" s="80">
        <v>45644</v>
      </c>
      <c r="C13" s="81">
        <v>0.38541666666666669</v>
      </c>
      <c r="D13" t="s">
        <v>104</v>
      </c>
      <c r="E13" t="s">
        <v>407</v>
      </c>
      <c r="F13">
        <v>7</v>
      </c>
      <c r="G13">
        <v>80</v>
      </c>
      <c r="H13" t="s">
        <v>409</v>
      </c>
      <c r="R13" t="s">
        <v>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70CB-0306-4A98-8622-754C90957EC4}">
  <dimension ref="A1:W70"/>
  <sheetViews>
    <sheetView tabSelected="1" topLeftCell="J50" workbookViewId="0">
      <selection activeCell="W70" sqref="W70"/>
    </sheetView>
  </sheetViews>
  <sheetFormatPr baseColWidth="10" defaultRowHeight="15" x14ac:dyDescent="0.2"/>
  <cols>
    <col min="1" max="1" width="5" bestFit="1" customWidth="1"/>
    <col min="2" max="2" width="4.5" bestFit="1" customWidth="1"/>
    <col min="3" max="4" width="10.83203125" style="43"/>
    <col min="5" max="22" width="10.83203125" style="56"/>
  </cols>
  <sheetData>
    <row r="1" spans="1:22" x14ac:dyDescent="0.2">
      <c r="A1" t="s">
        <v>497</v>
      </c>
      <c r="B1" t="s">
        <v>1</v>
      </c>
      <c r="C1" s="43" t="s">
        <v>82</v>
      </c>
      <c r="D1" s="43" t="s">
        <v>267</v>
      </c>
      <c r="E1" s="56" t="s">
        <v>193</v>
      </c>
      <c r="F1" s="56" t="s">
        <v>194</v>
      </c>
      <c r="G1" s="56" t="s">
        <v>195</v>
      </c>
      <c r="H1" s="56" t="s">
        <v>196</v>
      </c>
      <c r="I1" s="56" t="s">
        <v>197</v>
      </c>
      <c r="J1" s="56" t="s">
        <v>198</v>
      </c>
      <c r="K1" s="56" t="s">
        <v>199</v>
      </c>
      <c r="L1" s="56" t="s">
        <v>200</v>
      </c>
      <c r="M1" s="56" t="s">
        <v>201</v>
      </c>
      <c r="N1" s="56" t="s">
        <v>202</v>
      </c>
      <c r="O1" s="56" t="s">
        <v>203</v>
      </c>
      <c r="P1" s="56" t="s">
        <v>276</v>
      </c>
      <c r="Q1" s="56" t="s">
        <v>204</v>
      </c>
      <c r="R1" s="56" t="s">
        <v>205</v>
      </c>
      <c r="S1" s="56" t="s">
        <v>206</v>
      </c>
      <c r="T1" s="56" t="s">
        <v>207</v>
      </c>
      <c r="U1" s="56" t="s">
        <v>208</v>
      </c>
      <c r="V1" s="56" t="s">
        <v>209</v>
      </c>
    </row>
    <row r="2" spans="1:22" x14ac:dyDescent="0.2">
      <c r="A2">
        <v>2024</v>
      </c>
      <c r="B2" t="s">
        <v>19</v>
      </c>
      <c r="C2" s="75" t="s">
        <v>20</v>
      </c>
      <c r="D2" s="43" t="s">
        <v>99</v>
      </c>
      <c r="E2" s="56">
        <v>4</v>
      </c>
      <c r="F2" s="56">
        <v>4</v>
      </c>
      <c r="G2" s="56">
        <v>1</v>
      </c>
      <c r="H2" s="56" t="s">
        <v>269</v>
      </c>
      <c r="I2" s="56">
        <v>5</v>
      </c>
      <c r="N2" s="56">
        <v>0</v>
      </c>
      <c r="O2" s="56" t="s">
        <v>271</v>
      </c>
      <c r="P2" s="57" t="s">
        <v>191</v>
      </c>
      <c r="Q2" s="56">
        <v>1</v>
      </c>
      <c r="R2" s="56">
        <v>0</v>
      </c>
      <c r="S2" s="56">
        <v>0</v>
      </c>
      <c r="T2" s="56">
        <v>1</v>
      </c>
      <c r="U2" s="56">
        <v>2</v>
      </c>
      <c r="V2" s="56">
        <v>1</v>
      </c>
    </row>
    <row r="3" spans="1:22" x14ac:dyDescent="0.2">
      <c r="B3" t="s">
        <v>19</v>
      </c>
      <c r="C3" s="75" t="s">
        <v>23</v>
      </c>
      <c r="D3" s="43" t="s">
        <v>99</v>
      </c>
      <c r="E3" s="56">
        <v>4</v>
      </c>
      <c r="F3" s="56">
        <v>3</v>
      </c>
      <c r="G3" s="56">
        <v>1</v>
      </c>
      <c r="H3" s="56" t="s">
        <v>269</v>
      </c>
      <c r="I3" s="56">
        <v>5</v>
      </c>
      <c r="N3" s="56">
        <v>0</v>
      </c>
      <c r="O3" s="56">
        <v>0</v>
      </c>
      <c r="P3" s="56" t="s">
        <v>270</v>
      </c>
      <c r="Q3" s="56">
        <v>2</v>
      </c>
      <c r="R3" s="56">
        <v>0</v>
      </c>
      <c r="S3" s="56">
        <v>0</v>
      </c>
      <c r="T3" s="56">
        <v>5</v>
      </c>
      <c r="U3" s="56">
        <v>2</v>
      </c>
      <c r="V3" s="56">
        <v>3</v>
      </c>
    </row>
    <row r="4" spans="1:22" x14ac:dyDescent="0.2">
      <c r="B4" t="s">
        <v>19</v>
      </c>
      <c r="C4" s="75" t="s">
        <v>26</v>
      </c>
      <c r="D4" s="43" t="s">
        <v>99</v>
      </c>
      <c r="E4" s="56">
        <v>4</v>
      </c>
      <c r="F4" s="56">
        <v>3</v>
      </c>
      <c r="G4" s="56">
        <v>2</v>
      </c>
      <c r="H4" s="56">
        <v>0</v>
      </c>
      <c r="I4" s="56">
        <v>5</v>
      </c>
      <c r="N4" s="56">
        <v>1</v>
      </c>
      <c r="O4" s="56">
        <v>4</v>
      </c>
      <c r="P4" s="56" t="s">
        <v>149</v>
      </c>
      <c r="Q4" s="56">
        <v>1</v>
      </c>
      <c r="R4" s="56">
        <v>0</v>
      </c>
      <c r="S4" s="56">
        <v>0</v>
      </c>
      <c r="T4" s="56">
        <v>5</v>
      </c>
      <c r="U4" s="56">
        <v>2</v>
      </c>
      <c r="V4" s="56">
        <v>3</v>
      </c>
    </row>
    <row r="5" spans="1:22" x14ac:dyDescent="0.2">
      <c r="B5" t="s">
        <v>19</v>
      </c>
      <c r="C5" s="75" t="s">
        <v>27</v>
      </c>
      <c r="D5" s="43" t="s">
        <v>99</v>
      </c>
      <c r="E5" s="56">
        <v>4</v>
      </c>
      <c r="F5" s="56">
        <v>3</v>
      </c>
      <c r="G5" s="56">
        <v>1</v>
      </c>
      <c r="H5" s="56" t="s">
        <v>278</v>
      </c>
      <c r="I5" s="56">
        <v>5</v>
      </c>
      <c r="N5" s="56">
        <v>6</v>
      </c>
      <c r="O5" s="56">
        <v>24</v>
      </c>
      <c r="P5" s="56" t="s">
        <v>279</v>
      </c>
      <c r="Q5" s="56">
        <v>1</v>
      </c>
      <c r="R5" s="56">
        <v>0</v>
      </c>
      <c r="S5" s="56">
        <v>0</v>
      </c>
      <c r="T5" s="56">
        <v>4</v>
      </c>
      <c r="U5" s="56">
        <v>2</v>
      </c>
      <c r="V5" s="56">
        <v>2</v>
      </c>
    </row>
    <row r="6" spans="1:22" x14ac:dyDescent="0.2">
      <c r="B6" t="s">
        <v>19</v>
      </c>
      <c r="C6" s="72" t="s">
        <v>29</v>
      </c>
      <c r="D6" s="43" t="s">
        <v>268</v>
      </c>
      <c r="E6" s="56" t="s">
        <v>210</v>
      </c>
      <c r="F6" s="56" t="s">
        <v>211</v>
      </c>
      <c r="G6" s="56" t="s">
        <v>212</v>
      </c>
      <c r="H6" s="56" t="s">
        <v>101</v>
      </c>
      <c r="I6" s="56" t="s">
        <v>213</v>
      </c>
      <c r="J6" s="56" t="s">
        <v>214</v>
      </c>
      <c r="K6" s="56" t="s">
        <v>214</v>
      </c>
      <c r="L6" s="56" t="s">
        <v>214</v>
      </c>
      <c r="M6" s="56" t="s">
        <v>214</v>
      </c>
      <c r="N6" s="56" t="s">
        <v>215</v>
      </c>
      <c r="O6" s="56" t="s">
        <v>211</v>
      </c>
      <c r="Q6" s="56" t="s">
        <v>213</v>
      </c>
      <c r="R6" s="56" t="s">
        <v>101</v>
      </c>
      <c r="S6" s="56" t="s">
        <v>101</v>
      </c>
      <c r="T6" s="56" t="s">
        <v>216</v>
      </c>
      <c r="U6" s="56" t="s">
        <v>212</v>
      </c>
      <c r="V6" s="56" t="s">
        <v>217</v>
      </c>
    </row>
    <row r="7" spans="1:22" x14ac:dyDescent="0.2">
      <c r="B7" t="s">
        <v>19</v>
      </c>
      <c r="C7" s="72" t="s">
        <v>30</v>
      </c>
      <c r="D7" s="43" t="s">
        <v>268</v>
      </c>
      <c r="E7" s="56" t="s">
        <v>210</v>
      </c>
      <c r="F7" s="56" t="s">
        <v>218</v>
      </c>
      <c r="G7" s="56" t="s">
        <v>212</v>
      </c>
      <c r="H7" s="56" t="s">
        <v>101</v>
      </c>
      <c r="I7" s="56" t="s">
        <v>213</v>
      </c>
      <c r="J7" s="56" t="s">
        <v>214</v>
      </c>
      <c r="K7" s="56" t="s">
        <v>214</v>
      </c>
      <c r="L7" s="56" t="s">
        <v>214</v>
      </c>
      <c r="M7" s="56" t="s">
        <v>214</v>
      </c>
      <c r="N7" s="56" t="s">
        <v>212</v>
      </c>
      <c r="O7" s="56" t="s">
        <v>219</v>
      </c>
      <c r="Q7" s="56" t="s">
        <v>213</v>
      </c>
      <c r="R7" s="56" t="s">
        <v>101</v>
      </c>
      <c r="S7" s="56" t="s">
        <v>101</v>
      </c>
      <c r="T7" s="56" t="s">
        <v>216</v>
      </c>
      <c r="U7" s="56" t="s">
        <v>212</v>
      </c>
      <c r="V7" s="56" t="s">
        <v>217</v>
      </c>
    </row>
    <row r="8" spans="1:22" x14ac:dyDescent="0.2">
      <c r="B8" t="s">
        <v>19</v>
      </c>
      <c r="C8" s="72" t="s">
        <v>34</v>
      </c>
      <c r="D8" s="43" t="s">
        <v>268</v>
      </c>
      <c r="E8" s="56" t="s">
        <v>216</v>
      </c>
      <c r="F8" s="56" t="s">
        <v>217</v>
      </c>
      <c r="G8" s="56" t="s">
        <v>213</v>
      </c>
      <c r="H8" s="56" t="s">
        <v>220</v>
      </c>
      <c r="I8" s="56" t="s">
        <v>213</v>
      </c>
      <c r="J8" s="56" t="s">
        <v>214</v>
      </c>
      <c r="K8" s="56" t="s">
        <v>214</v>
      </c>
      <c r="L8" s="56" t="s">
        <v>214</v>
      </c>
      <c r="M8" s="56" t="s">
        <v>214</v>
      </c>
      <c r="N8" s="56" t="s">
        <v>214</v>
      </c>
      <c r="O8" s="56" t="s">
        <v>213</v>
      </c>
      <c r="Q8" s="56" t="s">
        <v>212</v>
      </c>
      <c r="R8" s="56" t="s">
        <v>101</v>
      </c>
      <c r="S8" s="56" t="s">
        <v>101</v>
      </c>
      <c r="T8" s="56" t="s">
        <v>216</v>
      </c>
      <c r="U8" s="56" t="s">
        <v>213</v>
      </c>
      <c r="V8" s="56" t="s">
        <v>213</v>
      </c>
    </row>
    <row r="9" spans="1:22" x14ac:dyDescent="0.2">
      <c r="B9" t="s">
        <v>19</v>
      </c>
      <c r="C9" s="72" t="s">
        <v>36</v>
      </c>
      <c r="D9" s="43" t="s">
        <v>268</v>
      </c>
      <c r="E9" s="56" t="s">
        <v>210</v>
      </c>
      <c r="F9" s="56" t="s">
        <v>217</v>
      </c>
      <c r="G9" s="56" t="s">
        <v>213</v>
      </c>
      <c r="H9" s="56" t="s">
        <v>213</v>
      </c>
      <c r="I9" s="56" t="s">
        <v>213</v>
      </c>
      <c r="J9" s="56" t="s">
        <v>214</v>
      </c>
      <c r="K9" s="56" t="s">
        <v>214</v>
      </c>
      <c r="L9" s="56" t="s">
        <v>214</v>
      </c>
      <c r="M9" s="56" t="s">
        <v>214</v>
      </c>
      <c r="N9" s="56" t="s">
        <v>214</v>
      </c>
      <c r="O9" s="56" t="s">
        <v>213</v>
      </c>
      <c r="Q9" s="56" t="s">
        <v>217</v>
      </c>
      <c r="R9" s="56" t="s">
        <v>101</v>
      </c>
      <c r="S9" s="56" t="s">
        <v>101</v>
      </c>
      <c r="T9" s="56" t="s">
        <v>210</v>
      </c>
      <c r="U9" s="56" t="s">
        <v>212</v>
      </c>
      <c r="V9" s="56" t="s">
        <v>217</v>
      </c>
    </row>
    <row r="10" spans="1:22" x14ac:dyDescent="0.2">
      <c r="B10" t="s">
        <v>19</v>
      </c>
      <c r="C10" s="72" t="s">
        <v>37</v>
      </c>
      <c r="D10" s="43" t="s">
        <v>268</v>
      </c>
      <c r="E10" s="56" t="s">
        <v>210</v>
      </c>
      <c r="F10" s="56" t="s">
        <v>221</v>
      </c>
      <c r="G10" s="56" t="s">
        <v>212</v>
      </c>
      <c r="H10" s="56" t="s">
        <v>101</v>
      </c>
      <c r="I10" s="56" t="s">
        <v>213</v>
      </c>
      <c r="J10" s="56" t="s">
        <v>214</v>
      </c>
      <c r="K10" s="56" t="s">
        <v>214</v>
      </c>
      <c r="L10" s="56" t="s">
        <v>214</v>
      </c>
      <c r="M10" s="56" t="s">
        <v>214</v>
      </c>
      <c r="N10" s="56" t="s">
        <v>214</v>
      </c>
      <c r="O10" s="56" t="s">
        <v>214</v>
      </c>
      <c r="Q10" s="56" t="s">
        <v>212</v>
      </c>
      <c r="R10" s="56" t="s">
        <v>101</v>
      </c>
      <c r="S10" s="56" t="s">
        <v>101</v>
      </c>
      <c r="T10" s="56" t="s">
        <v>213</v>
      </c>
      <c r="U10" s="56" t="s">
        <v>213</v>
      </c>
      <c r="V10" s="56" t="s">
        <v>212</v>
      </c>
    </row>
    <row r="11" spans="1:22" x14ac:dyDescent="0.2">
      <c r="B11" t="s">
        <v>19</v>
      </c>
      <c r="C11" s="72" t="s">
        <v>38</v>
      </c>
      <c r="D11" s="43" t="s">
        <v>268</v>
      </c>
      <c r="E11" s="56" t="s">
        <v>210</v>
      </c>
      <c r="F11" s="56" t="s">
        <v>222</v>
      </c>
      <c r="G11" s="56" t="s">
        <v>213</v>
      </c>
      <c r="H11" s="56" t="s">
        <v>223</v>
      </c>
      <c r="I11" s="56" t="s">
        <v>213</v>
      </c>
      <c r="J11" s="56" t="s">
        <v>214</v>
      </c>
      <c r="K11" s="56" t="s">
        <v>214</v>
      </c>
      <c r="L11" s="56" t="s">
        <v>214</v>
      </c>
      <c r="M11" s="56" t="s">
        <v>214</v>
      </c>
      <c r="N11" s="56" t="s">
        <v>214</v>
      </c>
      <c r="O11" s="56" t="s">
        <v>213</v>
      </c>
      <c r="Q11" s="56" t="s">
        <v>213</v>
      </c>
      <c r="R11" s="56" t="s">
        <v>224</v>
      </c>
      <c r="S11" s="56" t="s">
        <v>224</v>
      </c>
      <c r="T11" s="56" t="s">
        <v>217</v>
      </c>
      <c r="U11" s="56" t="s">
        <v>212</v>
      </c>
      <c r="V11" s="56" t="s">
        <v>212</v>
      </c>
    </row>
    <row r="12" spans="1:22" x14ac:dyDescent="0.2">
      <c r="B12" t="s">
        <v>19</v>
      </c>
      <c r="C12" s="75" t="s">
        <v>39</v>
      </c>
      <c r="D12" s="43" t="s">
        <v>99</v>
      </c>
      <c r="E12" s="56">
        <v>4</v>
      </c>
      <c r="F12" s="56">
        <v>3</v>
      </c>
      <c r="G12" s="56">
        <v>2</v>
      </c>
      <c r="H12" s="56">
        <v>0</v>
      </c>
      <c r="I12" s="56">
        <v>5</v>
      </c>
      <c r="N12" s="56">
        <v>6</v>
      </c>
      <c r="O12" s="56" t="s">
        <v>272</v>
      </c>
      <c r="P12" s="56" t="s">
        <v>149</v>
      </c>
      <c r="Q12" s="56">
        <v>2</v>
      </c>
      <c r="R12" s="56">
        <v>0</v>
      </c>
      <c r="S12" s="56">
        <v>0</v>
      </c>
      <c r="T12" s="56">
        <v>5</v>
      </c>
      <c r="U12" s="56">
        <v>2</v>
      </c>
      <c r="V12" s="56">
        <v>2</v>
      </c>
    </row>
    <row r="13" spans="1:22" x14ac:dyDescent="0.2">
      <c r="B13" t="s">
        <v>19</v>
      </c>
      <c r="C13" s="75" t="s">
        <v>43</v>
      </c>
      <c r="D13" s="43" t="s">
        <v>99</v>
      </c>
      <c r="E13" s="56">
        <v>4</v>
      </c>
      <c r="F13" s="56">
        <v>3</v>
      </c>
      <c r="G13" s="56">
        <v>1</v>
      </c>
      <c r="H13" s="56" t="s">
        <v>277</v>
      </c>
      <c r="I13" s="56">
        <v>5</v>
      </c>
      <c r="N13" s="56" t="s">
        <v>149</v>
      </c>
      <c r="O13" s="56">
        <v>5</v>
      </c>
      <c r="P13" s="56" t="s">
        <v>149</v>
      </c>
      <c r="Q13" s="56">
        <v>2</v>
      </c>
      <c r="R13" s="56">
        <v>0</v>
      </c>
      <c r="S13" s="56">
        <v>0</v>
      </c>
      <c r="T13" s="56">
        <v>4</v>
      </c>
      <c r="U13" s="56">
        <v>2</v>
      </c>
      <c r="V13" s="56">
        <v>3</v>
      </c>
    </row>
    <row r="14" spans="1:22" x14ac:dyDescent="0.2">
      <c r="B14" t="s">
        <v>19</v>
      </c>
      <c r="C14" s="72" t="s">
        <v>44</v>
      </c>
      <c r="D14" s="43" t="s">
        <v>268</v>
      </c>
      <c r="E14" s="56" t="s">
        <v>210</v>
      </c>
      <c r="F14" s="56" t="s">
        <v>210</v>
      </c>
      <c r="G14" s="56" t="s">
        <v>213</v>
      </c>
      <c r="H14" s="56" t="s">
        <v>213</v>
      </c>
      <c r="I14" s="56" t="s">
        <v>213</v>
      </c>
      <c r="J14" s="56" t="s">
        <v>214</v>
      </c>
      <c r="K14" s="56" t="s">
        <v>214</v>
      </c>
      <c r="L14" s="56" t="s">
        <v>214</v>
      </c>
      <c r="M14" s="56" t="s">
        <v>214</v>
      </c>
      <c r="N14" s="56" t="s">
        <v>213</v>
      </c>
      <c r="O14" s="56" t="s">
        <v>219</v>
      </c>
      <c r="Q14" s="56" t="s">
        <v>212</v>
      </c>
      <c r="R14" s="56" t="s">
        <v>101</v>
      </c>
      <c r="S14" s="56" t="s">
        <v>101</v>
      </c>
      <c r="T14" s="56" t="s">
        <v>216</v>
      </c>
      <c r="U14" s="56" t="s">
        <v>212</v>
      </c>
      <c r="V14" s="56" t="s">
        <v>217</v>
      </c>
    </row>
    <row r="15" spans="1:22" x14ac:dyDescent="0.2">
      <c r="B15" t="s">
        <v>19</v>
      </c>
      <c r="C15" s="72" t="s">
        <v>45</v>
      </c>
      <c r="D15" s="43" t="s">
        <v>268</v>
      </c>
      <c r="E15" s="56" t="s">
        <v>210</v>
      </c>
      <c r="F15" s="56" t="s">
        <v>217</v>
      </c>
      <c r="G15" s="56" t="s">
        <v>212</v>
      </c>
      <c r="H15" s="56" t="s">
        <v>101</v>
      </c>
      <c r="I15" s="56" t="s">
        <v>213</v>
      </c>
      <c r="J15" s="56" t="s">
        <v>214</v>
      </c>
      <c r="K15" s="56" t="s">
        <v>214</v>
      </c>
      <c r="L15" s="56" t="s">
        <v>214</v>
      </c>
      <c r="M15" s="56" t="s">
        <v>214</v>
      </c>
      <c r="N15" s="56" t="s">
        <v>217</v>
      </c>
      <c r="O15" s="56" t="s">
        <v>225</v>
      </c>
      <c r="Q15" s="56" t="s">
        <v>212</v>
      </c>
      <c r="R15" s="56" t="s">
        <v>101</v>
      </c>
      <c r="S15" s="56" t="s">
        <v>101</v>
      </c>
      <c r="T15" s="56" t="s">
        <v>216</v>
      </c>
      <c r="U15" s="56" t="s">
        <v>212</v>
      </c>
      <c r="V15" s="56" t="s">
        <v>213</v>
      </c>
    </row>
    <row r="16" spans="1:22" x14ac:dyDescent="0.2">
      <c r="B16" t="s">
        <v>19</v>
      </c>
      <c r="C16" s="72" t="s">
        <v>46</v>
      </c>
      <c r="D16" s="43" t="s">
        <v>268</v>
      </c>
      <c r="E16" s="56" t="s">
        <v>210</v>
      </c>
      <c r="F16" s="56" t="s">
        <v>226</v>
      </c>
      <c r="G16" s="56" t="s">
        <v>213</v>
      </c>
      <c r="H16" s="56" t="s">
        <v>212</v>
      </c>
      <c r="I16" s="56" t="s">
        <v>213</v>
      </c>
      <c r="J16" s="56" t="s">
        <v>214</v>
      </c>
      <c r="K16" s="56" t="s">
        <v>214</v>
      </c>
      <c r="L16" s="56" t="s">
        <v>214</v>
      </c>
      <c r="M16" s="56" t="s">
        <v>214</v>
      </c>
      <c r="N16" s="56" t="s">
        <v>213</v>
      </c>
      <c r="O16" s="56" t="s">
        <v>227</v>
      </c>
      <c r="Q16" s="56" t="s">
        <v>212</v>
      </c>
      <c r="R16" s="56" t="s">
        <v>101</v>
      </c>
      <c r="S16" s="56" t="s">
        <v>101</v>
      </c>
      <c r="T16" s="56" t="s">
        <v>216</v>
      </c>
      <c r="U16" s="56" t="s">
        <v>212</v>
      </c>
      <c r="V16" s="56" t="s">
        <v>217</v>
      </c>
    </row>
    <row r="17" spans="2:22" x14ac:dyDescent="0.2">
      <c r="B17" t="s">
        <v>19</v>
      </c>
      <c r="C17" s="72" t="s">
        <v>47</v>
      </c>
      <c r="D17" s="43" t="s">
        <v>268</v>
      </c>
      <c r="E17" s="56" t="s">
        <v>210</v>
      </c>
      <c r="F17" s="56" t="s">
        <v>217</v>
      </c>
      <c r="G17" s="56" t="s">
        <v>212</v>
      </c>
      <c r="H17" s="56" t="s">
        <v>101</v>
      </c>
      <c r="I17" s="56" t="s">
        <v>213</v>
      </c>
      <c r="J17" s="56" t="s">
        <v>214</v>
      </c>
      <c r="K17" s="56" t="s">
        <v>214</v>
      </c>
      <c r="L17" s="56" t="s">
        <v>214</v>
      </c>
      <c r="M17" s="56" t="s">
        <v>214</v>
      </c>
      <c r="N17" s="56" t="s">
        <v>217</v>
      </c>
      <c r="O17" s="56" t="s">
        <v>228</v>
      </c>
      <c r="Q17" s="56" t="s">
        <v>213</v>
      </c>
      <c r="R17" s="56" t="s">
        <v>101</v>
      </c>
      <c r="S17" s="56" t="s">
        <v>101</v>
      </c>
      <c r="T17" s="56" t="s">
        <v>210</v>
      </c>
      <c r="U17" s="56" t="s">
        <v>212</v>
      </c>
      <c r="V17" s="56" t="s">
        <v>217</v>
      </c>
    </row>
    <row r="18" spans="2:22" x14ac:dyDescent="0.2">
      <c r="B18" t="s">
        <v>19</v>
      </c>
      <c r="C18" s="75" t="s">
        <v>48</v>
      </c>
      <c r="D18" s="43" t="s">
        <v>99</v>
      </c>
      <c r="E18" s="56">
        <v>4</v>
      </c>
      <c r="F18" s="56">
        <v>3</v>
      </c>
      <c r="G18" s="56">
        <v>2</v>
      </c>
      <c r="H18" s="56">
        <v>0</v>
      </c>
      <c r="I18" s="56">
        <v>5</v>
      </c>
      <c r="N18" s="56">
        <v>0</v>
      </c>
      <c r="O18" s="56">
        <v>0</v>
      </c>
      <c r="P18" s="56" t="s">
        <v>149</v>
      </c>
      <c r="Q18" s="56">
        <v>1</v>
      </c>
      <c r="R18" s="56">
        <v>0</v>
      </c>
      <c r="S18" s="56">
        <v>0</v>
      </c>
      <c r="T18" s="56">
        <v>3</v>
      </c>
      <c r="U18" s="56">
        <v>2</v>
      </c>
      <c r="V18" s="56">
        <v>2</v>
      </c>
    </row>
    <row r="19" spans="2:22" x14ac:dyDescent="0.2">
      <c r="B19" t="s">
        <v>19</v>
      </c>
      <c r="C19" s="72" t="s">
        <v>49</v>
      </c>
      <c r="D19" s="43" t="s">
        <v>268</v>
      </c>
      <c r="E19" s="56" t="s">
        <v>210</v>
      </c>
      <c r="F19" s="56" t="s">
        <v>229</v>
      </c>
      <c r="G19" s="56" t="s">
        <v>212</v>
      </c>
      <c r="H19" s="56" t="s">
        <v>101</v>
      </c>
      <c r="I19" s="56" t="s">
        <v>213</v>
      </c>
      <c r="J19" s="56" t="s">
        <v>214</v>
      </c>
      <c r="K19" s="56" t="s">
        <v>214</v>
      </c>
      <c r="L19" s="56" t="s">
        <v>214</v>
      </c>
      <c r="M19" s="56" t="s">
        <v>214</v>
      </c>
      <c r="N19" s="56" t="s">
        <v>212</v>
      </c>
      <c r="O19" s="56" t="s">
        <v>219</v>
      </c>
      <c r="Q19" s="56" t="s">
        <v>212</v>
      </c>
      <c r="R19" s="56" t="s">
        <v>101</v>
      </c>
      <c r="S19" s="56" t="s">
        <v>101</v>
      </c>
      <c r="T19" s="56" t="s">
        <v>217</v>
      </c>
      <c r="U19" s="56" t="s">
        <v>212</v>
      </c>
      <c r="V19" s="56" t="s">
        <v>212</v>
      </c>
    </row>
    <row r="20" spans="2:22" x14ac:dyDescent="0.2">
      <c r="B20" t="s">
        <v>19</v>
      </c>
      <c r="C20" s="72" t="s">
        <v>50</v>
      </c>
      <c r="D20" s="43" t="s">
        <v>268</v>
      </c>
      <c r="E20" s="56" t="s">
        <v>210</v>
      </c>
      <c r="F20" s="56" t="s">
        <v>230</v>
      </c>
      <c r="G20" s="56" t="s">
        <v>212</v>
      </c>
      <c r="H20" s="56" t="s">
        <v>101</v>
      </c>
      <c r="I20" s="56" t="s">
        <v>213</v>
      </c>
      <c r="J20" s="56" t="s">
        <v>214</v>
      </c>
      <c r="K20" s="56" t="s">
        <v>214</v>
      </c>
      <c r="L20" s="56" t="s">
        <v>214</v>
      </c>
      <c r="M20" s="56" t="s">
        <v>214</v>
      </c>
      <c r="N20" s="56" t="s">
        <v>231</v>
      </c>
      <c r="O20" s="56" t="s">
        <v>232</v>
      </c>
      <c r="Q20" s="56" t="s">
        <v>212</v>
      </c>
      <c r="R20" s="56" t="s">
        <v>101</v>
      </c>
      <c r="S20" s="56" t="s">
        <v>101</v>
      </c>
      <c r="T20" s="56" t="s">
        <v>210</v>
      </c>
      <c r="U20" s="56" t="s">
        <v>213</v>
      </c>
      <c r="V20" s="56" t="s">
        <v>217</v>
      </c>
    </row>
    <row r="21" spans="2:22" x14ac:dyDescent="0.2">
      <c r="B21" t="s">
        <v>19</v>
      </c>
      <c r="C21" s="72" t="s">
        <v>51</v>
      </c>
      <c r="D21" s="43" t="s">
        <v>268</v>
      </c>
      <c r="E21" s="56" t="s">
        <v>210</v>
      </c>
      <c r="F21" s="56" t="s">
        <v>211</v>
      </c>
      <c r="G21" s="56" t="s">
        <v>212</v>
      </c>
      <c r="H21" s="56" t="s">
        <v>101</v>
      </c>
      <c r="I21" s="56" t="s">
        <v>213</v>
      </c>
      <c r="J21" s="56" t="s">
        <v>214</v>
      </c>
      <c r="K21" s="56" t="s">
        <v>214</v>
      </c>
      <c r="L21" s="56" t="s">
        <v>214</v>
      </c>
      <c r="M21" s="56" t="s">
        <v>214</v>
      </c>
      <c r="N21" s="56" t="s">
        <v>214</v>
      </c>
      <c r="O21" s="56" t="s">
        <v>213</v>
      </c>
      <c r="Q21" s="56" t="s">
        <v>213</v>
      </c>
      <c r="R21" s="56" t="s">
        <v>101</v>
      </c>
      <c r="S21" s="56" t="s">
        <v>101</v>
      </c>
      <c r="T21" s="56" t="s">
        <v>216</v>
      </c>
      <c r="U21" s="56" t="s">
        <v>212</v>
      </c>
      <c r="V21" s="56" t="s">
        <v>217</v>
      </c>
    </row>
    <row r="22" spans="2:22" x14ac:dyDescent="0.2">
      <c r="B22" t="s">
        <v>19</v>
      </c>
      <c r="C22" s="72" t="s">
        <v>53</v>
      </c>
      <c r="D22" s="43" t="s">
        <v>268</v>
      </c>
      <c r="E22" s="56" t="s">
        <v>210</v>
      </c>
      <c r="F22" s="56" t="s">
        <v>233</v>
      </c>
      <c r="G22" s="56" t="s">
        <v>213</v>
      </c>
      <c r="H22" s="56" t="s">
        <v>234</v>
      </c>
      <c r="I22" s="56" t="s">
        <v>213</v>
      </c>
      <c r="J22" s="56" t="s">
        <v>214</v>
      </c>
      <c r="K22" s="56" t="s">
        <v>214</v>
      </c>
      <c r="L22" s="56" t="s">
        <v>214</v>
      </c>
      <c r="M22" s="56" t="s">
        <v>214</v>
      </c>
      <c r="N22" s="56" t="s">
        <v>235</v>
      </c>
      <c r="O22" s="56" t="s">
        <v>236</v>
      </c>
      <c r="Q22" s="56" t="s">
        <v>213</v>
      </c>
      <c r="R22" s="56" t="s">
        <v>101</v>
      </c>
      <c r="S22" s="56" t="s">
        <v>101</v>
      </c>
      <c r="T22" s="56" t="s">
        <v>216</v>
      </c>
      <c r="U22" s="56" t="s">
        <v>212</v>
      </c>
      <c r="V22" s="56" t="s">
        <v>217</v>
      </c>
    </row>
    <row r="23" spans="2:22" x14ac:dyDescent="0.2">
      <c r="B23" t="s">
        <v>19</v>
      </c>
      <c r="C23" s="72" t="s">
        <v>54</v>
      </c>
      <c r="D23" s="43" t="s">
        <v>268</v>
      </c>
      <c r="E23" s="56" t="s">
        <v>210</v>
      </c>
      <c r="F23" s="56" t="s">
        <v>237</v>
      </c>
      <c r="G23" s="56" t="s">
        <v>212</v>
      </c>
      <c r="H23" s="56" t="s">
        <v>101</v>
      </c>
      <c r="I23" s="56" t="s">
        <v>213</v>
      </c>
      <c r="J23" s="56" t="s">
        <v>214</v>
      </c>
      <c r="K23" s="56" t="s">
        <v>214</v>
      </c>
      <c r="L23" s="56" t="s">
        <v>214</v>
      </c>
      <c r="M23" s="56" t="s">
        <v>214</v>
      </c>
      <c r="N23" s="56" t="s">
        <v>215</v>
      </c>
      <c r="O23" s="56" t="s">
        <v>216</v>
      </c>
      <c r="Q23" s="56" t="s">
        <v>213</v>
      </c>
      <c r="R23" s="56" t="s">
        <v>101</v>
      </c>
      <c r="S23" s="56" t="s">
        <v>101</v>
      </c>
      <c r="T23" s="56" t="s">
        <v>216</v>
      </c>
      <c r="U23" s="56" t="s">
        <v>213</v>
      </c>
      <c r="V23" s="56" t="s">
        <v>217</v>
      </c>
    </row>
    <row r="24" spans="2:22" x14ac:dyDescent="0.2">
      <c r="B24" t="s">
        <v>19</v>
      </c>
      <c r="C24" s="72" t="s">
        <v>55</v>
      </c>
      <c r="D24" s="43" t="s">
        <v>268</v>
      </c>
      <c r="E24" s="56" t="s">
        <v>210</v>
      </c>
      <c r="F24" s="56" t="s">
        <v>210</v>
      </c>
      <c r="G24" s="56" t="s">
        <v>212</v>
      </c>
      <c r="H24" s="56" t="s">
        <v>101</v>
      </c>
      <c r="I24" s="56" t="s">
        <v>213</v>
      </c>
      <c r="J24" s="56" t="s">
        <v>214</v>
      </c>
      <c r="K24" s="56" t="s">
        <v>214</v>
      </c>
      <c r="L24" s="56" t="s">
        <v>214</v>
      </c>
      <c r="M24" s="56" t="s">
        <v>214</v>
      </c>
      <c r="N24" s="56" t="s">
        <v>238</v>
      </c>
      <c r="O24" s="56" t="s">
        <v>210</v>
      </c>
      <c r="Q24" s="56" t="s">
        <v>219</v>
      </c>
      <c r="R24" s="56" t="s">
        <v>239</v>
      </c>
      <c r="S24" s="56" t="s">
        <v>101</v>
      </c>
      <c r="T24" s="56" t="s">
        <v>210</v>
      </c>
      <c r="U24" s="56" t="s">
        <v>212</v>
      </c>
      <c r="V24" s="56" t="s">
        <v>217</v>
      </c>
    </row>
    <row r="25" spans="2:22" x14ac:dyDescent="0.2">
      <c r="B25" t="s">
        <v>19</v>
      </c>
      <c r="C25" s="75" t="s">
        <v>56</v>
      </c>
      <c r="D25" s="43" t="s">
        <v>99</v>
      </c>
      <c r="E25" s="56">
        <v>4</v>
      </c>
      <c r="F25" s="56" t="s">
        <v>273</v>
      </c>
      <c r="G25" s="56">
        <v>1</v>
      </c>
      <c r="H25" s="56" t="s">
        <v>274</v>
      </c>
      <c r="I25" s="56">
        <v>5</v>
      </c>
      <c r="N25" s="56" t="s">
        <v>149</v>
      </c>
      <c r="O25" s="56" t="s">
        <v>275</v>
      </c>
      <c r="P25" s="56" t="s">
        <v>275</v>
      </c>
      <c r="Q25" s="56">
        <v>1</v>
      </c>
      <c r="R25" s="56">
        <v>0</v>
      </c>
      <c r="S25" s="56">
        <v>0</v>
      </c>
      <c r="T25" s="56">
        <v>3</v>
      </c>
      <c r="U25" s="56">
        <v>2</v>
      </c>
      <c r="V25" s="56">
        <v>3</v>
      </c>
    </row>
    <row r="26" spans="2:22" x14ac:dyDescent="0.2">
      <c r="B26" t="s">
        <v>19</v>
      </c>
      <c r="C26" s="72" t="s">
        <v>57</v>
      </c>
      <c r="D26" s="43" t="s">
        <v>268</v>
      </c>
      <c r="E26" s="56" t="s">
        <v>210</v>
      </c>
      <c r="F26" s="56" t="s">
        <v>210</v>
      </c>
      <c r="G26" s="56" t="s">
        <v>213</v>
      </c>
      <c r="H26" s="56" t="s">
        <v>240</v>
      </c>
      <c r="I26" s="56" t="s">
        <v>213</v>
      </c>
      <c r="J26" s="56" t="s">
        <v>213</v>
      </c>
      <c r="K26" s="56" t="s">
        <v>214</v>
      </c>
      <c r="L26" s="56" t="s">
        <v>214</v>
      </c>
      <c r="M26" s="56" t="s">
        <v>214</v>
      </c>
      <c r="N26" s="56" t="s">
        <v>213</v>
      </c>
      <c r="O26" s="56" t="s">
        <v>210</v>
      </c>
      <c r="Q26" s="56" t="s">
        <v>212</v>
      </c>
      <c r="R26" s="56" t="s">
        <v>101</v>
      </c>
      <c r="S26" s="56" t="s">
        <v>101</v>
      </c>
      <c r="T26" s="56" t="s">
        <v>217</v>
      </c>
      <c r="U26" s="56" t="s">
        <v>213</v>
      </c>
      <c r="V26" s="56" t="s">
        <v>212</v>
      </c>
    </row>
    <row r="27" spans="2:22" x14ac:dyDescent="0.2">
      <c r="B27" t="s">
        <v>19</v>
      </c>
      <c r="C27" s="72" t="s">
        <v>58</v>
      </c>
      <c r="D27" s="43" t="s">
        <v>268</v>
      </c>
      <c r="E27" s="56" t="s">
        <v>210</v>
      </c>
      <c r="F27" s="56" t="s">
        <v>217</v>
      </c>
      <c r="G27" s="56" t="s">
        <v>213</v>
      </c>
      <c r="H27" s="56" t="s">
        <v>241</v>
      </c>
      <c r="I27" s="56" t="s">
        <v>213</v>
      </c>
      <c r="J27" s="56" t="s">
        <v>214</v>
      </c>
      <c r="K27" s="56" t="s">
        <v>214</v>
      </c>
      <c r="L27" s="56" t="s">
        <v>214</v>
      </c>
      <c r="M27" s="56" t="s">
        <v>214</v>
      </c>
      <c r="N27" s="56" t="s">
        <v>214</v>
      </c>
      <c r="O27" s="56" t="s">
        <v>212</v>
      </c>
      <c r="Q27" s="56" t="s">
        <v>212</v>
      </c>
      <c r="R27" s="56" t="s">
        <v>101</v>
      </c>
      <c r="S27" s="56" t="s">
        <v>101</v>
      </c>
      <c r="T27" s="56" t="s">
        <v>216</v>
      </c>
      <c r="U27" s="56" t="s">
        <v>212</v>
      </c>
      <c r="V27" s="56" t="s">
        <v>212</v>
      </c>
    </row>
    <row r="28" spans="2:22" x14ac:dyDescent="0.2">
      <c r="B28" t="s">
        <v>19</v>
      </c>
      <c r="C28" s="72" t="s">
        <v>59</v>
      </c>
      <c r="D28" s="43" t="s">
        <v>268</v>
      </c>
      <c r="E28" s="56" t="s">
        <v>217</v>
      </c>
      <c r="F28" s="56" t="s">
        <v>217</v>
      </c>
      <c r="G28" s="56" t="s">
        <v>213</v>
      </c>
      <c r="H28" s="56" t="s">
        <v>242</v>
      </c>
      <c r="I28" s="56" t="s">
        <v>213</v>
      </c>
      <c r="J28" s="56" t="s">
        <v>214</v>
      </c>
      <c r="K28" s="56" t="s">
        <v>214</v>
      </c>
      <c r="L28" s="56" t="s">
        <v>214</v>
      </c>
      <c r="M28" s="56" t="s">
        <v>214</v>
      </c>
      <c r="N28" s="56" t="s">
        <v>214</v>
      </c>
      <c r="O28" s="56" t="s">
        <v>243</v>
      </c>
      <c r="Q28" s="56" t="s">
        <v>210</v>
      </c>
      <c r="R28" s="56" t="s">
        <v>101</v>
      </c>
      <c r="S28" s="56" t="s">
        <v>244</v>
      </c>
      <c r="T28" s="56" t="s">
        <v>212</v>
      </c>
      <c r="U28" s="56" t="s">
        <v>212</v>
      </c>
      <c r="V28" s="56" t="s">
        <v>217</v>
      </c>
    </row>
    <row r="29" spans="2:22" x14ac:dyDescent="0.2">
      <c r="B29" t="s">
        <v>19</v>
      </c>
      <c r="C29" s="72" t="s">
        <v>60</v>
      </c>
      <c r="D29" s="43" t="s">
        <v>268</v>
      </c>
      <c r="E29" s="56" t="s">
        <v>210</v>
      </c>
      <c r="F29" s="56" t="s">
        <v>212</v>
      </c>
      <c r="G29" s="56" t="s">
        <v>212</v>
      </c>
      <c r="H29" s="56" t="s">
        <v>101</v>
      </c>
      <c r="I29" s="56" t="s">
        <v>213</v>
      </c>
      <c r="J29" s="56" t="s">
        <v>214</v>
      </c>
      <c r="K29" s="56" t="s">
        <v>214</v>
      </c>
      <c r="L29" s="56" t="s">
        <v>214</v>
      </c>
      <c r="M29" s="56" t="s">
        <v>214</v>
      </c>
      <c r="N29" s="56" t="s">
        <v>245</v>
      </c>
      <c r="O29" s="56" t="s">
        <v>246</v>
      </c>
      <c r="Q29" s="56" t="s">
        <v>213</v>
      </c>
      <c r="R29" s="56" t="s">
        <v>101</v>
      </c>
      <c r="S29" s="56" t="s">
        <v>101</v>
      </c>
      <c r="T29" s="56" t="s">
        <v>210</v>
      </c>
      <c r="U29" s="56" t="s">
        <v>212</v>
      </c>
      <c r="V29" s="56" t="s">
        <v>212</v>
      </c>
    </row>
    <row r="30" spans="2:22" x14ac:dyDescent="0.2">
      <c r="B30" t="s">
        <v>19</v>
      </c>
      <c r="C30" s="72" t="s">
        <v>61</v>
      </c>
      <c r="D30" s="43" t="s">
        <v>268</v>
      </c>
      <c r="E30" s="56" t="s">
        <v>210</v>
      </c>
      <c r="F30" s="56" t="s">
        <v>217</v>
      </c>
      <c r="G30" s="56" t="s">
        <v>213</v>
      </c>
      <c r="H30" s="56" t="s">
        <v>212</v>
      </c>
      <c r="I30" s="56" t="s">
        <v>213</v>
      </c>
      <c r="J30" s="56" t="s">
        <v>214</v>
      </c>
      <c r="K30" s="56" t="s">
        <v>214</v>
      </c>
      <c r="L30" s="56" t="s">
        <v>214</v>
      </c>
      <c r="M30" s="56" t="s">
        <v>214</v>
      </c>
      <c r="N30" s="56" t="s">
        <v>219</v>
      </c>
      <c r="O30" s="56" t="s">
        <v>247</v>
      </c>
      <c r="Q30" s="56" t="s">
        <v>212</v>
      </c>
      <c r="R30" s="56" t="s">
        <v>101</v>
      </c>
      <c r="S30" s="56" t="s">
        <v>101</v>
      </c>
      <c r="T30" s="56" t="s">
        <v>217</v>
      </c>
      <c r="U30" s="56" t="s">
        <v>212</v>
      </c>
      <c r="V30" s="56" t="s">
        <v>212</v>
      </c>
    </row>
    <row r="31" spans="2:22" x14ac:dyDescent="0.2">
      <c r="B31" t="s">
        <v>19</v>
      </c>
      <c r="C31" s="72" t="s">
        <v>62</v>
      </c>
      <c r="D31" s="43" t="s">
        <v>268</v>
      </c>
      <c r="E31" s="56" t="s">
        <v>210</v>
      </c>
      <c r="F31" s="56" t="s">
        <v>212</v>
      </c>
      <c r="G31" s="56" t="s">
        <v>212</v>
      </c>
      <c r="H31" s="56" t="s">
        <v>101</v>
      </c>
      <c r="I31" s="56" t="s">
        <v>213</v>
      </c>
      <c r="J31" s="56" t="s">
        <v>214</v>
      </c>
      <c r="K31" s="56" t="s">
        <v>214</v>
      </c>
      <c r="L31" s="56" t="s">
        <v>214</v>
      </c>
      <c r="M31" s="56" t="s">
        <v>214</v>
      </c>
      <c r="N31" s="56" t="s">
        <v>214</v>
      </c>
      <c r="O31" s="56" t="s">
        <v>248</v>
      </c>
      <c r="Q31" s="56" t="s">
        <v>212</v>
      </c>
      <c r="R31" s="56" t="s">
        <v>101</v>
      </c>
      <c r="S31" s="56" t="s">
        <v>101</v>
      </c>
      <c r="T31" s="56" t="s">
        <v>213</v>
      </c>
      <c r="U31" s="56" t="s">
        <v>212</v>
      </c>
      <c r="V31" s="56" t="s">
        <v>212</v>
      </c>
    </row>
    <row r="32" spans="2:22" x14ac:dyDescent="0.2">
      <c r="B32" t="s">
        <v>19</v>
      </c>
      <c r="C32" s="72" t="s">
        <v>64</v>
      </c>
      <c r="D32" s="43" t="s">
        <v>268</v>
      </c>
      <c r="E32" s="56" t="s">
        <v>210</v>
      </c>
      <c r="F32" s="56" t="s">
        <v>249</v>
      </c>
      <c r="G32" s="56" t="s">
        <v>212</v>
      </c>
      <c r="H32" s="56" t="s">
        <v>101</v>
      </c>
      <c r="I32" s="56" t="s">
        <v>213</v>
      </c>
      <c r="J32" s="56" t="s">
        <v>214</v>
      </c>
      <c r="K32" s="56" t="s">
        <v>214</v>
      </c>
      <c r="L32" s="56" t="s">
        <v>214</v>
      </c>
      <c r="M32" s="56" t="s">
        <v>214</v>
      </c>
      <c r="N32" s="56" t="s">
        <v>250</v>
      </c>
      <c r="O32" s="56" t="s">
        <v>215</v>
      </c>
      <c r="Q32" s="56" t="s">
        <v>212</v>
      </c>
      <c r="R32" s="56" t="s">
        <v>101</v>
      </c>
      <c r="S32" s="56" t="s">
        <v>101</v>
      </c>
      <c r="T32" s="56" t="s">
        <v>210</v>
      </c>
      <c r="U32" s="56" t="s">
        <v>212</v>
      </c>
      <c r="V32" s="56" t="s">
        <v>212</v>
      </c>
    </row>
    <row r="33" spans="1:22" x14ac:dyDescent="0.2">
      <c r="B33" t="s">
        <v>19</v>
      </c>
      <c r="C33" s="72" t="s">
        <v>66</v>
      </c>
      <c r="D33" s="43" t="s">
        <v>268</v>
      </c>
      <c r="E33" s="56" t="s">
        <v>210</v>
      </c>
      <c r="F33" s="56" t="s">
        <v>210</v>
      </c>
      <c r="G33" s="56" t="s">
        <v>213</v>
      </c>
      <c r="H33" s="56" t="s">
        <v>251</v>
      </c>
      <c r="I33" s="56" t="s">
        <v>213</v>
      </c>
      <c r="J33" s="56" t="s">
        <v>214</v>
      </c>
      <c r="K33" s="56" t="s">
        <v>214</v>
      </c>
      <c r="L33" s="56" t="s">
        <v>214</v>
      </c>
      <c r="M33" s="56" t="s">
        <v>214</v>
      </c>
      <c r="N33" s="56" t="s">
        <v>214</v>
      </c>
      <c r="O33" s="56" t="s">
        <v>212</v>
      </c>
      <c r="Q33" s="56" t="s">
        <v>213</v>
      </c>
      <c r="R33" s="56" t="s">
        <v>101</v>
      </c>
      <c r="S33" s="56" t="s">
        <v>101</v>
      </c>
      <c r="T33" s="56" t="s">
        <v>216</v>
      </c>
      <c r="U33" s="56" t="s">
        <v>212</v>
      </c>
      <c r="V33" s="56" t="s">
        <v>212</v>
      </c>
    </row>
    <row r="34" spans="1:22" x14ac:dyDescent="0.2">
      <c r="B34" t="s">
        <v>19</v>
      </c>
      <c r="C34" s="72" t="s">
        <v>67</v>
      </c>
      <c r="D34" s="43" t="s">
        <v>268</v>
      </c>
      <c r="E34" s="56" t="s">
        <v>216</v>
      </c>
      <c r="F34" s="56" t="s">
        <v>212</v>
      </c>
      <c r="G34" s="56" t="s">
        <v>213</v>
      </c>
      <c r="H34" s="56" t="s">
        <v>252</v>
      </c>
      <c r="I34" s="56" t="s">
        <v>213</v>
      </c>
      <c r="J34" s="56" t="s">
        <v>214</v>
      </c>
      <c r="K34" s="56" t="s">
        <v>214</v>
      </c>
      <c r="L34" s="56" t="s">
        <v>214</v>
      </c>
      <c r="M34" s="56" t="s">
        <v>214</v>
      </c>
      <c r="N34" s="56" t="s">
        <v>214</v>
      </c>
      <c r="O34" s="56" t="s">
        <v>214</v>
      </c>
      <c r="Q34" s="56" t="s">
        <v>213</v>
      </c>
      <c r="R34" s="56" t="s">
        <v>101</v>
      </c>
      <c r="S34" s="56" t="s">
        <v>101</v>
      </c>
      <c r="T34" s="56" t="s">
        <v>213</v>
      </c>
      <c r="U34" s="56" t="s">
        <v>212</v>
      </c>
      <c r="V34" s="56" t="s">
        <v>217</v>
      </c>
    </row>
    <row r="35" spans="1:22" x14ac:dyDescent="0.2">
      <c r="B35" t="s">
        <v>19</v>
      </c>
      <c r="C35" s="72" t="s">
        <v>68</v>
      </c>
      <c r="D35" s="43" t="s">
        <v>268</v>
      </c>
      <c r="E35" s="56" t="s">
        <v>210</v>
      </c>
      <c r="F35" s="56" t="s">
        <v>217</v>
      </c>
      <c r="G35" s="56" t="s">
        <v>212</v>
      </c>
      <c r="H35" s="56" t="s">
        <v>101</v>
      </c>
      <c r="I35" s="56" t="s">
        <v>213</v>
      </c>
      <c r="J35" s="56" t="s">
        <v>214</v>
      </c>
      <c r="K35" s="56" t="s">
        <v>214</v>
      </c>
      <c r="L35" s="56" t="s">
        <v>214</v>
      </c>
      <c r="M35" s="56" t="s">
        <v>214</v>
      </c>
      <c r="N35" s="56" t="s">
        <v>253</v>
      </c>
      <c r="O35" s="56" t="s">
        <v>254</v>
      </c>
      <c r="Q35" s="56" t="s">
        <v>213</v>
      </c>
      <c r="R35" s="56" t="s">
        <v>101</v>
      </c>
      <c r="S35" s="56" t="s">
        <v>101</v>
      </c>
      <c r="T35" s="56" t="s">
        <v>216</v>
      </c>
      <c r="U35" s="56" t="s">
        <v>212</v>
      </c>
      <c r="V35" s="56" t="s">
        <v>217</v>
      </c>
    </row>
    <row r="36" spans="1:22" x14ac:dyDescent="0.2">
      <c r="B36" t="s">
        <v>19</v>
      </c>
      <c r="C36" s="72" t="s">
        <v>69</v>
      </c>
      <c r="D36" s="43" t="s">
        <v>268</v>
      </c>
      <c r="E36" s="56" t="s">
        <v>210</v>
      </c>
      <c r="F36" s="56" t="s">
        <v>229</v>
      </c>
      <c r="G36" s="56" t="s">
        <v>213</v>
      </c>
      <c r="H36" s="56" t="s">
        <v>255</v>
      </c>
      <c r="I36" s="56" t="s">
        <v>213</v>
      </c>
      <c r="J36" s="56" t="s">
        <v>214</v>
      </c>
      <c r="K36" s="56" t="s">
        <v>214</v>
      </c>
      <c r="L36" s="56" t="s">
        <v>214</v>
      </c>
      <c r="M36" s="56" t="s">
        <v>214</v>
      </c>
      <c r="N36" s="56" t="s">
        <v>256</v>
      </c>
      <c r="O36" s="56" t="s">
        <v>257</v>
      </c>
      <c r="Q36" s="56" t="s">
        <v>213</v>
      </c>
      <c r="R36" s="56" t="s">
        <v>101</v>
      </c>
      <c r="S36" s="56" t="s">
        <v>101</v>
      </c>
      <c r="T36" s="56" t="s">
        <v>216</v>
      </c>
      <c r="U36" s="56" t="s">
        <v>213</v>
      </c>
      <c r="V36" s="56" t="s">
        <v>217</v>
      </c>
    </row>
    <row r="37" spans="1:22" x14ac:dyDescent="0.2">
      <c r="B37" t="s">
        <v>19</v>
      </c>
      <c r="C37" s="72" t="s">
        <v>70</v>
      </c>
      <c r="D37" s="43" t="s">
        <v>268</v>
      </c>
      <c r="E37" s="56" t="s">
        <v>210</v>
      </c>
      <c r="F37" s="56" t="s">
        <v>210</v>
      </c>
      <c r="G37" s="56" t="s">
        <v>213</v>
      </c>
      <c r="H37" s="56" t="s">
        <v>212</v>
      </c>
      <c r="I37" s="56" t="s">
        <v>213</v>
      </c>
      <c r="J37" s="56" t="s">
        <v>214</v>
      </c>
      <c r="K37" s="56" t="s">
        <v>214</v>
      </c>
      <c r="L37" s="56" t="s">
        <v>214</v>
      </c>
      <c r="M37" s="56" t="s">
        <v>214</v>
      </c>
      <c r="N37" s="56" t="s">
        <v>213</v>
      </c>
      <c r="O37" s="56" t="s">
        <v>248</v>
      </c>
      <c r="Q37" s="56" t="s">
        <v>213</v>
      </c>
      <c r="R37" s="56" t="s">
        <v>101</v>
      </c>
      <c r="S37" s="56" t="s">
        <v>101</v>
      </c>
      <c r="T37" s="56" t="s">
        <v>216</v>
      </c>
      <c r="U37" s="56" t="s">
        <v>212</v>
      </c>
      <c r="V37" s="56" t="s">
        <v>212</v>
      </c>
    </row>
    <row r="38" spans="1:22" x14ac:dyDescent="0.2">
      <c r="B38" t="s">
        <v>19</v>
      </c>
      <c r="C38" s="72" t="s">
        <v>72</v>
      </c>
      <c r="D38" s="43" t="s">
        <v>268</v>
      </c>
      <c r="E38" s="56" t="s">
        <v>210</v>
      </c>
      <c r="F38" s="56" t="s">
        <v>217</v>
      </c>
      <c r="G38" s="56" t="s">
        <v>213</v>
      </c>
      <c r="H38" s="56" t="s">
        <v>258</v>
      </c>
      <c r="I38" s="56" t="s">
        <v>213</v>
      </c>
      <c r="J38" s="56" t="s">
        <v>214</v>
      </c>
      <c r="K38" s="56" t="s">
        <v>214</v>
      </c>
      <c r="L38" s="56" t="s">
        <v>214</v>
      </c>
      <c r="M38" s="56" t="s">
        <v>214</v>
      </c>
      <c r="N38" s="56" t="s">
        <v>213</v>
      </c>
      <c r="O38" s="56" t="s">
        <v>210</v>
      </c>
      <c r="Q38" s="56" t="s">
        <v>213</v>
      </c>
      <c r="R38" s="56" t="s">
        <v>101</v>
      </c>
      <c r="S38" s="56" t="s">
        <v>101</v>
      </c>
      <c r="T38" s="56" t="s">
        <v>216</v>
      </c>
      <c r="U38" s="56" t="s">
        <v>212</v>
      </c>
      <c r="V38" s="56" t="s">
        <v>217</v>
      </c>
    </row>
    <row r="39" spans="1:22" x14ac:dyDescent="0.2">
      <c r="B39" t="s">
        <v>19</v>
      </c>
      <c r="C39" s="72" t="s">
        <v>73</v>
      </c>
      <c r="D39" s="43" t="s">
        <v>268</v>
      </c>
      <c r="E39" s="56" t="s">
        <v>210</v>
      </c>
      <c r="F39" s="56" t="s">
        <v>259</v>
      </c>
      <c r="G39" s="56" t="s">
        <v>213</v>
      </c>
      <c r="H39" s="56" t="s">
        <v>260</v>
      </c>
      <c r="I39" s="56" t="s">
        <v>213</v>
      </c>
      <c r="J39" s="56" t="s">
        <v>214</v>
      </c>
      <c r="K39" s="56" t="s">
        <v>214</v>
      </c>
      <c r="L39" s="56" t="s">
        <v>214</v>
      </c>
      <c r="M39" s="56" t="s">
        <v>214</v>
      </c>
      <c r="N39" s="56" t="s">
        <v>261</v>
      </c>
      <c r="O39" s="56" t="s">
        <v>262</v>
      </c>
      <c r="Q39" s="56" t="s">
        <v>213</v>
      </c>
      <c r="R39" s="56" t="s">
        <v>101</v>
      </c>
      <c r="S39" s="56" t="s">
        <v>101</v>
      </c>
      <c r="T39" s="56" t="s">
        <v>216</v>
      </c>
      <c r="U39" s="56" t="s">
        <v>212</v>
      </c>
      <c r="V39" s="56" t="s">
        <v>217</v>
      </c>
    </row>
    <row r="40" spans="1:22" x14ac:dyDescent="0.2">
      <c r="B40" t="s">
        <v>19</v>
      </c>
      <c r="C40" s="72" t="s">
        <v>74</v>
      </c>
      <c r="D40" s="43" t="s">
        <v>268</v>
      </c>
      <c r="E40" s="56" t="s">
        <v>210</v>
      </c>
      <c r="F40" s="56" t="s">
        <v>210</v>
      </c>
      <c r="G40" s="56" t="s">
        <v>212</v>
      </c>
      <c r="H40" s="56" t="s">
        <v>101</v>
      </c>
      <c r="I40" s="56" t="s">
        <v>213</v>
      </c>
      <c r="J40" s="56" t="s">
        <v>214</v>
      </c>
      <c r="K40" s="56" t="s">
        <v>214</v>
      </c>
      <c r="L40" s="56" t="s">
        <v>214</v>
      </c>
      <c r="M40" s="56" t="s">
        <v>214</v>
      </c>
      <c r="N40" s="56" t="s">
        <v>214</v>
      </c>
      <c r="O40" s="56" t="s">
        <v>213</v>
      </c>
      <c r="Q40" s="56" t="s">
        <v>212</v>
      </c>
      <c r="R40" s="56" t="s">
        <v>101</v>
      </c>
      <c r="S40" s="56" t="s">
        <v>101</v>
      </c>
      <c r="T40" s="56" t="s">
        <v>210</v>
      </c>
      <c r="U40" s="56" t="s">
        <v>212</v>
      </c>
      <c r="V40" s="56" t="s">
        <v>217</v>
      </c>
    </row>
    <row r="41" spans="1:22" x14ac:dyDescent="0.2">
      <c r="B41" t="s">
        <v>19</v>
      </c>
      <c r="C41" s="72" t="s">
        <v>76</v>
      </c>
      <c r="D41" s="43" t="s">
        <v>268</v>
      </c>
      <c r="E41" s="56" t="s">
        <v>216</v>
      </c>
      <c r="F41" s="56" t="s">
        <v>217</v>
      </c>
      <c r="G41" s="56" t="s">
        <v>213</v>
      </c>
      <c r="H41" s="56" t="s">
        <v>263</v>
      </c>
      <c r="I41" s="56" t="s">
        <v>213</v>
      </c>
      <c r="J41" s="56" t="s">
        <v>214</v>
      </c>
      <c r="K41" s="56" t="s">
        <v>214</v>
      </c>
      <c r="L41" s="56" t="s">
        <v>214</v>
      </c>
      <c r="M41" s="56" t="s">
        <v>214</v>
      </c>
      <c r="N41" s="56" t="s">
        <v>264</v>
      </c>
      <c r="O41" s="56" t="s">
        <v>265</v>
      </c>
      <c r="Q41" s="56" t="s">
        <v>213</v>
      </c>
      <c r="R41" s="56" t="s">
        <v>101</v>
      </c>
      <c r="S41" s="56" t="s">
        <v>101</v>
      </c>
      <c r="T41" s="56" t="s">
        <v>216</v>
      </c>
      <c r="U41" s="56" t="s">
        <v>213</v>
      </c>
      <c r="V41" s="56" t="s">
        <v>217</v>
      </c>
    </row>
    <row r="42" spans="1:22" x14ac:dyDescent="0.2">
      <c r="B42" t="s">
        <v>19</v>
      </c>
      <c r="C42" s="72" t="s">
        <v>77</v>
      </c>
      <c r="D42" s="43" t="s">
        <v>268</v>
      </c>
      <c r="E42" s="56" t="s">
        <v>210</v>
      </c>
      <c r="F42" s="56" t="s">
        <v>210</v>
      </c>
      <c r="G42" s="56" t="s">
        <v>212</v>
      </c>
      <c r="H42" s="56" t="s">
        <v>101</v>
      </c>
      <c r="I42" s="56" t="s">
        <v>213</v>
      </c>
      <c r="J42" s="56" t="s">
        <v>214</v>
      </c>
      <c r="K42" s="56" t="s">
        <v>214</v>
      </c>
      <c r="L42" s="56" t="s">
        <v>214</v>
      </c>
      <c r="M42" s="56" t="s">
        <v>214</v>
      </c>
      <c r="N42" s="56" t="s">
        <v>214</v>
      </c>
      <c r="O42" s="56" t="s">
        <v>213</v>
      </c>
      <c r="Q42" s="56" t="s">
        <v>213</v>
      </c>
      <c r="R42" s="56" t="s">
        <v>101</v>
      </c>
      <c r="S42" s="56" t="s">
        <v>101</v>
      </c>
      <c r="T42" s="56" t="s">
        <v>216</v>
      </c>
      <c r="U42" s="56" t="s">
        <v>212</v>
      </c>
      <c r="V42" s="56" t="s">
        <v>217</v>
      </c>
    </row>
    <row r="43" spans="1:22" x14ac:dyDescent="0.2">
      <c r="B43" t="s">
        <v>19</v>
      </c>
      <c r="C43" s="72" t="s">
        <v>78</v>
      </c>
      <c r="D43" s="43" t="s">
        <v>268</v>
      </c>
      <c r="E43" s="56" t="s">
        <v>210</v>
      </c>
      <c r="F43" s="56" t="s">
        <v>211</v>
      </c>
      <c r="G43" s="56" t="s">
        <v>212</v>
      </c>
      <c r="H43" s="56" t="s">
        <v>101</v>
      </c>
      <c r="I43" s="56" t="s">
        <v>213</v>
      </c>
      <c r="J43" s="56" t="s">
        <v>214</v>
      </c>
      <c r="K43" s="56" t="s">
        <v>214</v>
      </c>
      <c r="L43" s="56" t="s">
        <v>214</v>
      </c>
      <c r="M43" s="56" t="s">
        <v>214</v>
      </c>
      <c r="N43" s="56" t="s">
        <v>214</v>
      </c>
      <c r="O43" s="56" t="s">
        <v>210</v>
      </c>
      <c r="Q43" s="56" t="s">
        <v>213</v>
      </c>
      <c r="R43" s="56" t="s">
        <v>101</v>
      </c>
      <c r="S43" s="56" t="s">
        <v>101</v>
      </c>
      <c r="T43" s="56" t="s">
        <v>216</v>
      </c>
      <c r="U43" s="56" t="s">
        <v>212</v>
      </c>
      <c r="V43" s="56" t="s">
        <v>217</v>
      </c>
    </row>
    <row r="44" spans="1:22" x14ac:dyDescent="0.2">
      <c r="B44" t="s">
        <v>19</v>
      </c>
      <c r="C44" s="72" t="s">
        <v>79</v>
      </c>
      <c r="D44" s="43" t="s">
        <v>268</v>
      </c>
      <c r="E44" s="56" t="s">
        <v>210</v>
      </c>
      <c r="F44" s="56" t="s">
        <v>210</v>
      </c>
      <c r="G44" s="56" t="s">
        <v>212</v>
      </c>
      <c r="H44" s="56" t="s">
        <v>101</v>
      </c>
      <c r="I44" s="56" t="s">
        <v>213</v>
      </c>
      <c r="J44" s="56" t="s">
        <v>214</v>
      </c>
      <c r="K44" s="56" t="s">
        <v>214</v>
      </c>
      <c r="L44" s="56" t="s">
        <v>214</v>
      </c>
      <c r="M44" s="56" t="s">
        <v>214</v>
      </c>
      <c r="N44" s="56" t="s">
        <v>213</v>
      </c>
      <c r="O44" s="56" t="s">
        <v>214</v>
      </c>
      <c r="Q44" s="56" t="s">
        <v>212</v>
      </c>
      <c r="R44" s="56" t="s">
        <v>101</v>
      </c>
      <c r="S44" s="56" t="s">
        <v>101</v>
      </c>
      <c r="T44" s="56" t="s">
        <v>210</v>
      </c>
      <c r="U44" s="56" t="s">
        <v>212</v>
      </c>
      <c r="V44" s="56" t="s">
        <v>217</v>
      </c>
    </row>
    <row r="45" spans="1:22" x14ac:dyDescent="0.2">
      <c r="B45" t="s">
        <v>19</v>
      </c>
      <c r="C45" s="72" t="s">
        <v>80</v>
      </c>
      <c r="D45" s="43" t="s">
        <v>268</v>
      </c>
      <c r="E45" s="56" t="s">
        <v>210</v>
      </c>
      <c r="F45" s="56" t="s">
        <v>217</v>
      </c>
      <c r="G45" s="56" t="s">
        <v>212</v>
      </c>
      <c r="H45" s="56" t="s">
        <v>101</v>
      </c>
      <c r="I45" s="56" t="s">
        <v>213</v>
      </c>
      <c r="J45" s="56" t="s">
        <v>214</v>
      </c>
      <c r="K45" s="56" t="s">
        <v>214</v>
      </c>
      <c r="L45" s="56" t="s">
        <v>214</v>
      </c>
      <c r="M45" s="56" t="s">
        <v>214</v>
      </c>
      <c r="N45" s="56" t="s">
        <v>266</v>
      </c>
      <c r="O45" s="56" t="s">
        <v>211</v>
      </c>
      <c r="Q45" s="56" t="s">
        <v>213</v>
      </c>
      <c r="R45" s="56" t="s">
        <v>101</v>
      </c>
      <c r="S45" s="56" t="s">
        <v>101</v>
      </c>
      <c r="T45" s="56" t="s">
        <v>217</v>
      </c>
      <c r="U45" s="56" t="s">
        <v>212</v>
      </c>
      <c r="V45" s="56" t="s">
        <v>217</v>
      </c>
    </row>
    <row r="47" spans="1:22" x14ac:dyDescent="0.2">
      <c r="A47">
        <v>2025</v>
      </c>
      <c r="B47" t="s">
        <v>19</v>
      </c>
      <c r="C47">
        <v>27</v>
      </c>
      <c r="D47" s="43" t="s">
        <v>268</v>
      </c>
      <c r="E47">
        <v>4</v>
      </c>
      <c r="F47" t="s">
        <v>211</v>
      </c>
      <c r="G47">
        <v>1</v>
      </c>
      <c r="H47" t="s">
        <v>539</v>
      </c>
      <c r="I47">
        <v>1</v>
      </c>
      <c r="J47">
        <v>0</v>
      </c>
      <c r="K47">
        <v>0</v>
      </c>
      <c r="L47">
        <v>0</v>
      </c>
      <c r="M47">
        <v>0</v>
      </c>
      <c r="N47" t="s">
        <v>213</v>
      </c>
      <c r="O47" t="s">
        <v>211</v>
      </c>
      <c r="P47"/>
      <c r="Q47">
        <v>1</v>
      </c>
      <c r="R47" t="s">
        <v>101</v>
      </c>
      <c r="S47" t="s">
        <v>101</v>
      </c>
      <c r="T47">
        <v>4</v>
      </c>
      <c r="U47">
        <v>2</v>
      </c>
      <c r="V47">
        <v>3</v>
      </c>
    </row>
    <row r="48" spans="1:22" x14ac:dyDescent="0.2">
      <c r="A48">
        <v>2025</v>
      </c>
      <c r="B48" t="s">
        <v>19</v>
      </c>
      <c r="C48">
        <v>28</v>
      </c>
      <c r="D48" s="43" t="s">
        <v>268</v>
      </c>
      <c r="E48">
        <v>4</v>
      </c>
      <c r="F48" t="s">
        <v>217</v>
      </c>
      <c r="G48">
        <v>2</v>
      </c>
      <c r="H48" t="s">
        <v>101</v>
      </c>
      <c r="I48">
        <v>1</v>
      </c>
      <c r="J48">
        <v>0</v>
      </c>
      <c r="K48">
        <v>0</v>
      </c>
      <c r="L48">
        <v>0</v>
      </c>
      <c r="M48">
        <v>0</v>
      </c>
      <c r="N48" t="s">
        <v>540</v>
      </c>
      <c r="O48" t="s">
        <v>212</v>
      </c>
      <c r="P48"/>
      <c r="Q48">
        <v>1</v>
      </c>
      <c r="R48" t="s">
        <v>101</v>
      </c>
      <c r="S48" t="s">
        <v>101</v>
      </c>
      <c r="T48">
        <v>5</v>
      </c>
      <c r="U48">
        <v>2</v>
      </c>
      <c r="V48">
        <v>3</v>
      </c>
    </row>
    <row r="49" spans="1:22" x14ac:dyDescent="0.2">
      <c r="A49">
        <v>2025</v>
      </c>
      <c r="B49" t="s">
        <v>19</v>
      </c>
      <c r="C49">
        <v>29</v>
      </c>
      <c r="D49" s="43" t="s">
        <v>268</v>
      </c>
      <c r="E49">
        <v>4</v>
      </c>
      <c r="F49" t="s">
        <v>217</v>
      </c>
      <c r="G49">
        <v>2</v>
      </c>
      <c r="H49" t="s">
        <v>101</v>
      </c>
      <c r="I49">
        <v>1</v>
      </c>
      <c r="J49">
        <v>0</v>
      </c>
      <c r="K49">
        <v>0</v>
      </c>
      <c r="L49">
        <v>0</v>
      </c>
      <c r="M49">
        <v>0</v>
      </c>
      <c r="N49" t="s">
        <v>212</v>
      </c>
      <c r="O49" t="s">
        <v>541</v>
      </c>
      <c r="P49"/>
      <c r="Q49">
        <v>1</v>
      </c>
      <c r="R49" t="s">
        <v>101</v>
      </c>
      <c r="S49" t="s">
        <v>101</v>
      </c>
      <c r="T49">
        <v>5</v>
      </c>
      <c r="U49">
        <v>2</v>
      </c>
      <c r="V49">
        <v>3</v>
      </c>
    </row>
    <row r="50" spans="1:22" x14ac:dyDescent="0.2">
      <c r="A50">
        <v>2025</v>
      </c>
      <c r="B50" t="s">
        <v>19</v>
      </c>
      <c r="C50">
        <v>30</v>
      </c>
      <c r="D50" s="43" t="s">
        <v>268</v>
      </c>
      <c r="E50">
        <v>4</v>
      </c>
      <c r="F50" t="s">
        <v>217</v>
      </c>
      <c r="G50">
        <v>1</v>
      </c>
      <c r="H50" t="s">
        <v>542</v>
      </c>
      <c r="I50">
        <v>1</v>
      </c>
      <c r="J50">
        <v>0</v>
      </c>
      <c r="K50">
        <v>0</v>
      </c>
      <c r="L50">
        <v>0</v>
      </c>
      <c r="M50">
        <v>0</v>
      </c>
      <c r="N50" t="s">
        <v>213</v>
      </c>
      <c r="O50" t="s">
        <v>264</v>
      </c>
      <c r="P50"/>
      <c r="Q50">
        <v>2</v>
      </c>
      <c r="R50" t="s">
        <v>101</v>
      </c>
      <c r="S50" t="s">
        <v>101</v>
      </c>
      <c r="T50">
        <v>5</v>
      </c>
      <c r="U50">
        <v>2</v>
      </c>
      <c r="V50">
        <v>3</v>
      </c>
    </row>
    <row r="51" spans="1:22" x14ac:dyDescent="0.2">
      <c r="A51">
        <v>2025</v>
      </c>
      <c r="B51" t="s">
        <v>19</v>
      </c>
      <c r="C51">
        <v>44</v>
      </c>
      <c r="D51" s="43" t="s">
        <v>268</v>
      </c>
      <c r="E51">
        <v>3</v>
      </c>
      <c r="F51" t="s">
        <v>212</v>
      </c>
      <c r="G51">
        <v>1</v>
      </c>
      <c r="H51" t="s">
        <v>543</v>
      </c>
      <c r="I51">
        <v>1</v>
      </c>
      <c r="J51">
        <v>1</v>
      </c>
      <c r="K51">
        <v>0</v>
      </c>
      <c r="L51">
        <v>0</v>
      </c>
      <c r="M51">
        <v>0</v>
      </c>
      <c r="N51" t="s">
        <v>544</v>
      </c>
      <c r="O51" t="s">
        <v>544</v>
      </c>
      <c r="P51"/>
      <c r="Q51">
        <v>2</v>
      </c>
      <c r="R51" t="s">
        <v>101</v>
      </c>
      <c r="S51" t="s">
        <v>101</v>
      </c>
      <c r="T51">
        <v>2</v>
      </c>
      <c r="U51">
        <v>2</v>
      </c>
      <c r="V51">
        <v>2</v>
      </c>
    </row>
    <row r="52" spans="1:22" x14ac:dyDescent="0.2">
      <c r="A52">
        <v>2025</v>
      </c>
      <c r="B52" t="s">
        <v>19</v>
      </c>
      <c r="C52">
        <v>45</v>
      </c>
      <c r="D52" s="43" t="s">
        <v>268</v>
      </c>
      <c r="E52">
        <v>4</v>
      </c>
      <c r="F52" t="s">
        <v>212</v>
      </c>
      <c r="G52">
        <v>2</v>
      </c>
      <c r="H52" t="s">
        <v>101</v>
      </c>
      <c r="I52">
        <v>1</v>
      </c>
      <c r="J52">
        <v>0</v>
      </c>
      <c r="K52">
        <v>0</v>
      </c>
      <c r="L52">
        <v>0</v>
      </c>
      <c r="M52">
        <v>0</v>
      </c>
      <c r="N52" t="s">
        <v>212</v>
      </c>
      <c r="O52" t="s">
        <v>228</v>
      </c>
      <c r="P52"/>
      <c r="Q52">
        <v>1</v>
      </c>
      <c r="R52" t="s">
        <v>101</v>
      </c>
      <c r="S52" t="s">
        <v>101</v>
      </c>
      <c r="T52">
        <v>4</v>
      </c>
      <c r="U52">
        <v>2</v>
      </c>
      <c r="V52">
        <v>3</v>
      </c>
    </row>
    <row r="53" spans="1:22" x14ac:dyDescent="0.2">
      <c r="A53">
        <v>2025</v>
      </c>
      <c r="B53" t="s">
        <v>19</v>
      </c>
      <c r="C53">
        <v>46</v>
      </c>
      <c r="D53" s="43" t="s">
        <v>268</v>
      </c>
      <c r="E53">
        <v>4</v>
      </c>
      <c r="F53" t="s">
        <v>213</v>
      </c>
      <c r="G53">
        <v>1</v>
      </c>
      <c r="H53" t="s">
        <v>545</v>
      </c>
      <c r="I53">
        <v>1</v>
      </c>
      <c r="J53">
        <v>0</v>
      </c>
      <c r="K53">
        <v>0</v>
      </c>
      <c r="L53">
        <v>0</v>
      </c>
      <c r="M53">
        <v>0</v>
      </c>
      <c r="N53" t="s">
        <v>214</v>
      </c>
      <c r="O53" t="s">
        <v>214</v>
      </c>
      <c r="P53"/>
      <c r="Q53">
        <v>2</v>
      </c>
      <c r="R53" t="s">
        <v>101</v>
      </c>
      <c r="S53" t="s">
        <v>101</v>
      </c>
      <c r="T53">
        <v>4</v>
      </c>
      <c r="U53">
        <v>2</v>
      </c>
      <c r="V53">
        <v>3</v>
      </c>
    </row>
    <row r="54" spans="1:22" x14ac:dyDescent="0.2">
      <c r="A54">
        <v>2025</v>
      </c>
      <c r="B54" t="s">
        <v>19</v>
      </c>
      <c r="C54">
        <v>47</v>
      </c>
      <c r="D54" s="43" t="s">
        <v>268</v>
      </c>
      <c r="E54">
        <v>4</v>
      </c>
      <c r="F54" t="s">
        <v>210</v>
      </c>
      <c r="G54">
        <v>1</v>
      </c>
      <c r="H54" t="s">
        <v>213</v>
      </c>
      <c r="I54">
        <v>1</v>
      </c>
      <c r="J54">
        <v>0</v>
      </c>
      <c r="K54">
        <v>0</v>
      </c>
      <c r="L54">
        <v>0</v>
      </c>
      <c r="M54">
        <v>0</v>
      </c>
      <c r="N54" t="s">
        <v>228</v>
      </c>
      <c r="O54" t="s">
        <v>546</v>
      </c>
      <c r="P54"/>
      <c r="Q54">
        <v>1</v>
      </c>
      <c r="R54" t="s">
        <v>101</v>
      </c>
      <c r="S54" t="s">
        <v>101</v>
      </c>
      <c r="T54">
        <v>3</v>
      </c>
      <c r="U54">
        <v>2</v>
      </c>
      <c r="V54">
        <v>1</v>
      </c>
    </row>
    <row r="55" spans="1:22" x14ac:dyDescent="0.2">
      <c r="A55">
        <v>2025</v>
      </c>
      <c r="B55" t="s">
        <v>19</v>
      </c>
      <c r="C55">
        <v>61</v>
      </c>
      <c r="D55" s="43" t="s">
        <v>268</v>
      </c>
      <c r="E55">
        <v>4</v>
      </c>
      <c r="F55" t="s">
        <v>210</v>
      </c>
      <c r="G55">
        <v>2</v>
      </c>
      <c r="H55" t="s">
        <v>101</v>
      </c>
      <c r="I55">
        <v>1</v>
      </c>
      <c r="J55">
        <v>0</v>
      </c>
      <c r="K55">
        <v>0</v>
      </c>
      <c r="L55">
        <v>0</v>
      </c>
      <c r="M55">
        <v>0</v>
      </c>
      <c r="N55" t="s">
        <v>217</v>
      </c>
      <c r="O55" t="s">
        <v>225</v>
      </c>
      <c r="P55"/>
      <c r="Q55">
        <v>1</v>
      </c>
      <c r="R55" t="s">
        <v>101</v>
      </c>
      <c r="S55" t="s">
        <v>101</v>
      </c>
      <c r="T55">
        <v>5</v>
      </c>
      <c r="U55">
        <v>2</v>
      </c>
      <c r="V55">
        <v>2</v>
      </c>
    </row>
    <row r="56" spans="1:22" x14ac:dyDescent="0.2">
      <c r="A56">
        <v>2025</v>
      </c>
      <c r="B56" t="s">
        <v>19</v>
      </c>
      <c r="C56">
        <v>62</v>
      </c>
      <c r="D56" s="43" t="s">
        <v>268</v>
      </c>
      <c r="E56">
        <v>4</v>
      </c>
      <c r="F56" t="s">
        <v>547</v>
      </c>
      <c r="G56">
        <v>1</v>
      </c>
      <c r="H56" t="s">
        <v>548</v>
      </c>
      <c r="I56">
        <v>1</v>
      </c>
      <c r="J56">
        <v>0</v>
      </c>
      <c r="K56">
        <v>0</v>
      </c>
      <c r="L56">
        <v>0</v>
      </c>
      <c r="M56">
        <v>0</v>
      </c>
      <c r="N56" t="s">
        <v>214</v>
      </c>
      <c r="O56" t="s">
        <v>217</v>
      </c>
      <c r="P56"/>
      <c r="Q56">
        <v>2</v>
      </c>
      <c r="R56" t="s">
        <v>101</v>
      </c>
      <c r="S56" t="s">
        <v>101</v>
      </c>
      <c r="T56">
        <v>5</v>
      </c>
      <c r="U56">
        <v>2</v>
      </c>
      <c r="V56">
        <v>3</v>
      </c>
    </row>
    <row r="57" spans="1:22" x14ac:dyDescent="0.2">
      <c r="A57">
        <v>2025</v>
      </c>
      <c r="B57" t="s">
        <v>19</v>
      </c>
      <c r="C57">
        <v>63</v>
      </c>
      <c r="D57" s="43" t="s">
        <v>268</v>
      </c>
      <c r="E57">
        <v>4</v>
      </c>
      <c r="F57" t="s">
        <v>549</v>
      </c>
      <c r="G57">
        <v>2</v>
      </c>
      <c r="H57" t="s">
        <v>101</v>
      </c>
      <c r="I57">
        <v>1</v>
      </c>
      <c r="J57">
        <v>0</v>
      </c>
      <c r="K57">
        <v>0</v>
      </c>
      <c r="L57">
        <v>0</v>
      </c>
      <c r="M57">
        <v>0</v>
      </c>
      <c r="N57" t="s">
        <v>214</v>
      </c>
      <c r="O57" t="s">
        <v>214</v>
      </c>
      <c r="P57"/>
      <c r="Q57">
        <v>1</v>
      </c>
      <c r="R57" t="s">
        <v>101</v>
      </c>
      <c r="S57" t="s">
        <v>101</v>
      </c>
      <c r="T57">
        <v>5</v>
      </c>
      <c r="U57">
        <v>2</v>
      </c>
      <c r="V57">
        <v>3</v>
      </c>
    </row>
    <row r="58" spans="1:22" x14ac:dyDescent="0.2">
      <c r="A58">
        <v>2025</v>
      </c>
      <c r="B58" t="s">
        <v>19</v>
      </c>
      <c r="C58">
        <v>72</v>
      </c>
      <c r="D58" s="43" t="s">
        <v>268</v>
      </c>
      <c r="E58">
        <v>4</v>
      </c>
      <c r="F58" t="s">
        <v>210</v>
      </c>
      <c r="G58">
        <v>2</v>
      </c>
      <c r="H58" t="s">
        <v>101</v>
      </c>
      <c r="I58">
        <v>1</v>
      </c>
      <c r="J58">
        <v>0</v>
      </c>
      <c r="K58">
        <v>0</v>
      </c>
      <c r="L58">
        <v>0</v>
      </c>
      <c r="M58">
        <v>0</v>
      </c>
      <c r="N58" t="s">
        <v>213</v>
      </c>
      <c r="O58" t="s">
        <v>210</v>
      </c>
      <c r="P58"/>
      <c r="Q58">
        <v>4</v>
      </c>
      <c r="R58" t="s">
        <v>101</v>
      </c>
      <c r="S58" t="s">
        <v>101</v>
      </c>
      <c r="T58">
        <v>5</v>
      </c>
      <c r="U58">
        <v>2</v>
      </c>
      <c r="V58">
        <v>3</v>
      </c>
    </row>
    <row r="59" spans="1:22" x14ac:dyDescent="0.2">
      <c r="A59">
        <v>2025</v>
      </c>
      <c r="B59" t="s">
        <v>19</v>
      </c>
      <c r="C59">
        <v>73</v>
      </c>
      <c r="D59" s="43" t="s">
        <v>268</v>
      </c>
      <c r="E59">
        <v>4</v>
      </c>
      <c r="F59" t="s">
        <v>231</v>
      </c>
      <c r="G59">
        <v>1</v>
      </c>
      <c r="H59" t="s">
        <v>215</v>
      </c>
      <c r="I59">
        <v>1</v>
      </c>
      <c r="J59">
        <v>0</v>
      </c>
      <c r="K59">
        <v>0</v>
      </c>
      <c r="L59">
        <v>0</v>
      </c>
      <c r="M59">
        <v>0</v>
      </c>
      <c r="N59" t="s">
        <v>238</v>
      </c>
      <c r="O59" t="s">
        <v>212</v>
      </c>
      <c r="P59"/>
      <c r="Q59">
        <v>2</v>
      </c>
      <c r="R59" t="s">
        <v>101</v>
      </c>
      <c r="S59" t="s">
        <v>101</v>
      </c>
      <c r="T59">
        <v>4</v>
      </c>
      <c r="U59">
        <v>2</v>
      </c>
      <c r="V59">
        <v>2</v>
      </c>
    </row>
    <row r="60" spans="1:22" x14ac:dyDescent="0.2">
      <c r="A60">
        <v>2025</v>
      </c>
      <c r="B60" t="s">
        <v>19</v>
      </c>
      <c r="C60">
        <v>74</v>
      </c>
      <c r="D60" s="43" t="s">
        <v>268</v>
      </c>
      <c r="E60">
        <v>4</v>
      </c>
      <c r="F60" t="s">
        <v>550</v>
      </c>
      <c r="G60">
        <v>1</v>
      </c>
      <c r="H60" t="s">
        <v>551</v>
      </c>
      <c r="I60">
        <v>1</v>
      </c>
      <c r="J60">
        <v>0</v>
      </c>
      <c r="K60">
        <v>0</v>
      </c>
      <c r="L60">
        <v>0</v>
      </c>
      <c r="M60">
        <v>0</v>
      </c>
      <c r="N60" t="s">
        <v>217</v>
      </c>
      <c r="O60" t="s">
        <v>225</v>
      </c>
      <c r="P60"/>
      <c r="Q60">
        <v>2</v>
      </c>
      <c r="R60" t="s">
        <v>101</v>
      </c>
      <c r="S60" t="s">
        <v>101</v>
      </c>
      <c r="T60">
        <v>5</v>
      </c>
      <c r="U60">
        <v>1</v>
      </c>
      <c r="V60">
        <v>3</v>
      </c>
    </row>
    <row r="61" spans="1:22" x14ac:dyDescent="0.2">
      <c r="A61">
        <v>2025</v>
      </c>
      <c r="B61" t="s">
        <v>19</v>
      </c>
      <c r="C61">
        <v>75</v>
      </c>
      <c r="D61" s="43" t="s">
        <v>268</v>
      </c>
      <c r="E61">
        <v>4</v>
      </c>
      <c r="F61" t="s">
        <v>217</v>
      </c>
      <c r="G61">
        <v>2</v>
      </c>
      <c r="H61" t="s">
        <v>101</v>
      </c>
      <c r="I61">
        <v>1</v>
      </c>
      <c r="J61">
        <v>0</v>
      </c>
      <c r="K61">
        <v>0</v>
      </c>
      <c r="L61">
        <v>0</v>
      </c>
      <c r="M61">
        <v>0</v>
      </c>
      <c r="N61" t="s">
        <v>214</v>
      </c>
      <c r="O61" t="s">
        <v>213</v>
      </c>
      <c r="P61"/>
      <c r="Q61">
        <v>1</v>
      </c>
      <c r="R61" t="s">
        <v>101</v>
      </c>
      <c r="S61" t="s">
        <v>101</v>
      </c>
      <c r="T61">
        <v>1</v>
      </c>
      <c r="U61">
        <v>2</v>
      </c>
      <c r="V61">
        <v>2</v>
      </c>
    </row>
    <row r="62" spans="1:22" x14ac:dyDescent="0.2">
      <c r="A62">
        <v>2025</v>
      </c>
      <c r="B62" t="s">
        <v>19</v>
      </c>
      <c r="C62">
        <v>77</v>
      </c>
      <c r="D62" s="43" t="s">
        <v>268</v>
      </c>
      <c r="E62">
        <v>3</v>
      </c>
      <c r="F62" t="s">
        <v>210</v>
      </c>
      <c r="G62">
        <v>2</v>
      </c>
      <c r="H62" t="s">
        <v>101</v>
      </c>
      <c r="I62">
        <v>1</v>
      </c>
      <c r="J62">
        <v>0</v>
      </c>
      <c r="K62">
        <v>0</v>
      </c>
      <c r="L62">
        <v>0</v>
      </c>
      <c r="M62">
        <v>0</v>
      </c>
      <c r="N62" t="s">
        <v>245</v>
      </c>
      <c r="O62" t="s">
        <v>552</v>
      </c>
      <c r="P62"/>
      <c r="Q62">
        <v>1</v>
      </c>
      <c r="R62" t="s">
        <v>101</v>
      </c>
      <c r="S62" t="s">
        <v>101</v>
      </c>
      <c r="T62">
        <v>5</v>
      </c>
      <c r="U62">
        <v>1</v>
      </c>
      <c r="V62">
        <v>3</v>
      </c>
    </row>
    <row r="63" spans="1:22" x14ac:dyDescent="0.2">
      <c r="A63">
        <v>2025</v>
      </c>
      <c r="B63" t="s">
        <v>19</v>
      </c>
      <c r="C63">
        <v>78</v>
      </c>
      <c r="D63" s="43" t="s">
        <v>268</v>
      </c>
      <c r="E63">
        <v>4</v>
      </c>
      <c r="F63" t="s">
        <v>210</v>
      </c>
      <c r="G63">
        <v>1</v>
      </c>
      <c r="H63" t="s">
        <v>553</v>
      </c>
      <c r="I63">
        <v>1</v>
      </c>
      <c r="J63">
        <v>0</v>
      </c>
      <c r="K63">
        <v>0</v>
      </c>
      <c r="L63">
        <v>0</v>
      </c>
      <c r="M63">
        <v>0</v>
      </c>
      <c r="N63" t="s">
        <v>554</v>
      </c>
      <c r="O63" t="s">
        <v>248</v>
      </c>
      <c r="P63"/>
      <c r="Q63">
        <v>5</v>
      </c>
      <c r="R63" t="s">
        <v>101</v>
      </c>
      <c r="S63" t="s">
        <v>216</v>
      </c>
      <c r="T63">
        <v>2</v>
      </c>
      <c r="U63">
        <v>2</v>
      </c>
      <c r="V63">
        <v>2</v>
      </c>
    </row>
    <row r="64" spans="1:22" x14ac:dyDescent="0.2">
      <c r="A64">
        <v>2025</v>
      </c>
      <c r="B64" t="s">
        <v>19</v>
      </c>
      <c r="C64">
        <v>79</v>
      </c>
      <c r="D64" s="43" t="s">
        <v>268</v>
      </c>
      <c r="E64">
        <v>4</v>
      </c>
      <c r="F64" t="s">
        <v>217</v>
      </c>
      <c r="G64">
        <v>2</v>
      </c>
      <c r="H64" t="s">
        <v>101</v>
      </c>
      <c r="I64">
        <v>1</v>
      </c>
      <c r="J64">
        <v>0</v>
      </c>
      <c r="K64">
        <v>0</v>
      </c>
      <c r="L64">
        <v>0</v>
      </c>
      <c r="M64">
        <v>0</v>
      </c>
      <c r="N64" t="s">
        <v>555</v>
      </c>
      <c r="O64" t="s">
        <v>556</v>
      </c>
      <c r="P64"/>
      <c r="Q64">
        <v>6</v>
      </c>
      <c r="R64" t="s">
        <v>557</v>
      </c>
      <c r="S64" t="s">
        <v>101</v>
      </c>
      <c r="T64">
        <v>4</v>
      </c>
      <c r="U64">
        <v>1</v>
      </c>
      <c r="V64">
        <v>2</v>
      </c>
    </row>
    <row r="65" spans="1:23" x14ac:dyDescent="0.2">
      <c r="A65">
        <v>2025</v>
      </c>
      <c r="B65" t="s">
        <v>19</v>
      </c>
      <c r="C65">
        <v>80</v>
      </c>
      <c r="D65" s="43" t="s">
        <v>268</v>
      </c>
      <c r="E65">
        <v>4</v>
      </c>
      <c r="F65" t="s">
        <v>217</v>
      </c>
      <c r="G65">
        <v>1</v>
      </c>
      <c r="H65" t="s">
        <v>558</v>
      </c>
      <c r="I65">
        <v>1</v>
      </c>
      <c r="J65">
        <v>0</v>
      </c>
      <c r="K65">
        <v>0</v>
      </c>
      <c r="L65">
        <v>0</v>
      </c>
      <c r="M65">
        <v>0</v>
      </c>
      <c r="N65" t="s">
        <v>559</v>
      </c>
      <c r="O65" t="s">
        <v>560</v>
      </c>
      <c r="P65"/>
      <c r="Q65">
        <v>2</v>
      </c>
      <c r="R65" t="s">
        <v>101</v>
      </c>
      <c r="S65" t="s">
        <v>101</v>
      </c>
      <c r="T65">
        <v>4</v>
      </c>
      <c r="U65">
        <v>1</v>
      </c>
      <c r="V65">
        <v>1</v>
      </c>
    </row>
    <row r="66" spans="1:23" x14ac:dyDescent="0.2">
      <c r="A66">
        <v>2025</v>
      </c>
      <c r="B66" t="s">
        <v>19</v>
      </c>
      <c r="C66">
        <v>96</v>
      </c>
      <c r="D66" s="43" t="s">
        <v>268</v>
      </c>
      <c r="E66">
        <v>3</v>
      </c>
      <c r="F66" t="s">
        <v>210</v>
      </c>
      <c r="G66">
        <v>2</v>
      </c>
      <c r="H66" t="s">
        <v>101</v>
      </c>
      <c r="I66">
        <v>1</v>
      </c>
      <c r="J66">
        <v>0</v>
      </c>
      <c r="K66">
        <v>0</v>
      </c>
      <c r="L66">
        <v>0</v>
      </c>
      <c r="M66">
        <v>0</v>
      </c>
      <c r="N66" t="s">
        <v>215</v>
      </c>
      <c r="O66" t="s">
        <v>561</v>
      </c>
      <c r="P66"/>
      <c r="Q66">
        <v>1</v>
      </c>
      <c r="R66" t="s">
        <v>101</v>
      </c>
      <c r="S66" t="s">
        <v>101</v>
      </c>
      <c r="T66">
        <v>5</v>
      </c>
      <c r="U66">
        <v>2</v>
      </c>
      <c r="V66">
        <v>3</v>
      </c>
    </row>
    <row r="67" spans="1:23" x14ac:dyDescent="0.2">
      <c r="A67">
        <v>2025</v>
      </c>
      <c r="B67" t="s">
        <v>19</v>
      </c>
      <c r="C67">
        <v>97</v>
      </c>
      <c r="D67" s="43" t="s">
        <v>268</v>
      </c>
      <c r="E67">
        <v>4</v>
      </c>
      <c r="F67" t="s">
        <v>210</v>
      </c>
      <c r="G67">
        <v>2</v>
      </c>
      <c r="H67" t="s">
        <v>101</v>
      </c>
      <c r="I67">
        <v>1</v>
      </c>
      <c r="J67">
        <v>0</v>
      </c>
      <c r="K67">
        <v>0</v>
      </c>
      <c r="L67">
        <v>0</v>
      </c>
      <c r="M67">
        <v>0</v>
      </c>
      <c r="N67" t="s">
        <v>213</v>
      </c>
      <c r="O67" t="s">
        <v>219</v>
      </c>
      <c r="P67"/>
      <c r="Q67">
        <v>2</v>
      </c>
      <c r="R67" t="s">
        <v>101</v>
      </c>
      <c r="S67" t="s">
        <v>101</v>
      </c>
      <c r="T67">
        <v>4</v>
      </c>
      <c r="U67">
        <v>2</v>
      </c>
      <c r="V67">
        <v>2</v>
      </c>
    </row>
    <row r="68" spans="1:23" x14ac:dyDescent="0.2">
      <c r="A68">
        <v>2025</v>
      </c>
      <c r="B68" t="s">
        <v>19</v>
      </c>
      <c r="C68">
        <v>99</v>
      </c>
      <c r="D68" s="43" t="s">
        <v>268</v>
      </c>
      <c r="E68">
        <v>5</v>
      </c>
      <c r="F68" t="s">
        <v>217</v>
      </c>
      <c r="G68">
        <v>2</v>
      </c>
      <c r="H68" t="s">
        <v>101</v>
      </c>
      <c r="I68">
        <v>1</v>
      </c>
      <c r="J68">
        <v>0</v>
      </c>
      <c r="K68">
        <v>0</v>
      </c>
      <c r="L68">
        <v>0</v>
      </c>
      <c r="M68">
        <v>0</v>
      </c>
      <c r="N68" t="s">
        <v>213</v>
      </c>
      <c r="O68" t="s">
        <v>210</v>
      </c>
      <c r="P68"/>
      <c r="Q68">
        <v>2</v>
      </c>
      <c r="R68" t="s">
        <v>101</v>
      </c>
      <c r="S68" t="s">
        <v>101</v>
      </c>
      <c r="T68">
        <v>4</v>
      </c>
      <c r="U68">
        <v>2</v>
      </c>
      <c r="V68">
        <v>2</v>
      </c>
    </row>
    <row r="69" spans="1:23" x14ac:dyDescent="0.2">
      <c r="A69">
        <v>2025</v>
      </c>
      <c r="B69" t="s">
        <v>19</v>
      </c>
      <c r="C69" s="43">
        <v>48</v>
      </c>
      <c r="D69" s="43" t="s">
        <v>568</v>
      </c>
      <c r="E69" s="56">
        <v>4</v>
      </c>
      <c r="F69" s="56">
        <v>3</v>
      </c>
      <c r="G69" s="56">
        <v>2</v>
      </c>
      <c r="I69" s="56">
        <v>1</v>
      </c>
      <c r="J69" s="56">
        <v>0</v>
      </c>
      <c r="K69" s="56">
        <v>0</v>
      </c>
      <c r="L69" s="56">
        <v>0</v>
      </c>
      <c r="M69" s="56">
        <v>0</v>
      </c>
      <c r="N69" s="56" t="s">
        <v>570</v>
      </c>
      <c r="O69" s="56">
        <v>1</v>
      </c>
      <c r="Q69" s="56">
        <v>1</v>
      </c>
      <c r="T69" s="156">
        <v>5</v>
      </c>
      <c r="U69" s="56">
        <v>2</v>
      </c>
      <c r="V69" s="56">
        <v>2</v>
      </c>
      <c r="W69" s="58" t="s">
        <v>571</v>
      </c>
    </row>
    <row r="70" spans="1:23" x14ac:dyDescent="0.2">
      <c r="A70">
        <v>2025</v>
      </c>
      <c r="B70" t="s">
        <v>19</v>
      </c>
      <c r="C70" s="43">
        <v>71</v>
      </c>
      <c r="D70" s="43" t="s">
        <v>568</v>
      </c>
      <c r="E70" s="56">
        <v>4</v>
      </c>
      <c r="F70" s="56">
        <v>3</v>
      </c>
      <c r="G70" s="56">
        <v>1</v>
      </c>
      <c r="H70" s="56" t="s">
        <v>569</v>
      </c>
      <c r="I70" s="56">
        <v>1</v>
      </c>
      <c r="J70" s="56">
        <v>0</v>
      </c>
      <c r="K70" s="56">
        <v>0</v>
      </c>
      <c r="L70" s="56">
        <v>0</v>
      </c>
      <c r="M70" s="56">
        <v>0</v>
      </c>
      <c r="N70" s="56">
        <v>0</v>
      </c>
      <c r="O70" s="56">
        <v>0</v>
      </c>
      <c r="Q70" s="56">
        <v>2</v>
      </c>
      <c r="T70" s="156">
        <v>5</v>
      </c>
      <c r="U70" s="56">
        <v>2</v>
      </c>
      <c r="V70" s="156">
        <v>3</v>
      </c>
      <c r="W70" s="58" t="s">
        <v>571</v>
      </c>
    </row>
  </sheetData>
  <sortState xmlns:xlrd2="http://schemas.microsoft.com/office/spreadsheetml/2017/richdata2" ref="C2:V45">
    <sortCondition ref="C2:C4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E28DA-9B3F-4F26-AE7E-1871A8F85C1F}">
  <dimension ref="A1:V141"/>
  <sheetViews>
    <sheetView topLeftCell="A3" zoomScale="70" zoomScaleNormal="70" workbookViewId="0">
      <selection activeCell="C13" sqref="C13"/>
    </sheetView>
  </sheetViews>
  <sheetFormatPr baseColWidth="10" defaultRowHeight="15" x14ac:dyDescent="0.2"/>
  <cols>
    <col min="1" max="1" width="14.5" customWidth="1"/>
    <col min="3" max="3" width="14.1640625" style="9" bestFit="1" customWidth="1"/>
    <col min="5" max="5" width="13.5" bestFit="1" customWidth="1"/>
    <col min="6" max="6" width="19.1640625" bestFit="1" customWidth="1"/>
    <col min="12" max="12" width="11.5" bestFit="1" customWidth="1"/>
    <col min="13" max="13" width="13.5" bestFit="1" customWidth="1"/>
    <col min="14" max="14" width="14.5" bestFit="1" customWidth="1"/>
    <col min="15" max="15" width="14.83203125" bestFit="1" customWidth="1"/>
    <col min="16" max="16" width="16.6640625" bestFit="1" customWidth="1"/>
    <col min="17" max="17" width="13.83203125" bestFit="1" customWidth="1"/>
    <col min="18" max="18" width="12.33203125" bestFit="1" customWidth="1"/>
    <col min="19" max="19" width="83" bestFit="1" customWidth="1"/>
  </cols>
  <sheetData>
    <row r="1" spans="1:22" ht="17" thickBot="1" x14ac:dyDescent="0.25">
      <c r="A1" s="82" t="s">
        <v>0</v>
      </c>
      <c r="B1" s="82" t="s">
        <v>1</v>
      </c>
      <c r="C1" s="83" t="s">
        <v>2</v>
      </c>
      <c r="D1" s="84" t="s">
        <v>3</v>
      </c>
      <c r="E1" s="85" t="s">
        <v>4</v>
      </c>
      <c r="F1" s="86" t="s">
        <v>5</v>
      </c>
      <c r="G1" s="87" t="s">
        <v>6</v>
      </c>
      <c r="H1" s="88" t="s">
        <v>7</v>
      </c>
      <c r="I1" s="88" t="s">
        <v>8</v>
      </c>
      <c r="J1" s="88" t="s">
        <v>9</v>
      </c>
      <c r="K1" s="89" t="s">
        <v>10</v>
      </c>
      <c r="L1" s="89" t="s">
        <v>11</v>
      </c>
      <c r="M1" s="89" t="s">
        <v>12</v>
      </c>
      <c r="N1" s="90" t="s">
        <v>13</v>
      </c>
      <c r="O1" s="90" t="s">
        <v>14</v>
      </c>
      <c r="P1" s="90" t="s">
        <v>15</v>
      </c>
      <c r="Q1" s="91" t="s">
        <v>16</v>
      </c>
      <c r="R1" s="92" t="s">
        <v>17</v>
      </c>
      <c r="S1" s="93" t="s">
        <v>18</v>
      </c>
    </row>
    <row r="2" spans="1:22" ht="15" customHeight="1" x14ac:dyDescent="0.2">
      <c r="A2" s="94">
        <v>45537</v>
      </c>
      <c r="B2" s="95" t="s">
        <v>19</v>
      </c>
      <c r="C2" s="97" t="s">
        <v>20</v>
      </c>
      <c r="D2" s="96">
        <v>5</v>
      </c>
      <c r="E2" s="96" t="s">
        <v>21</v>
      </c>
      <c r="F2" s="96">
        <v>40</v>
      </c>
      <c r="G2" s="96">
        <v>155</v>
      </c>
      <c r="H2" s="96">
        <v>759</v>
      </c>
      <c r="I2" s="96">
        <v>291</v>
      </c>
      <c r="J2" s="96">
        <v>1.5</v>
      </c>
      <c r="K2" s="96">
        <v>778</v>
      </c>
      <c r="L2" s="96">
        <v>282</v>
      </c>
      <c r="M2" s="96">
        <v>1.45</v>
      </c>
      <c r="N2" s="96">
        <v>1537</v>
      </c>
      <c r="O2" s="96">
        <v>573</v>
      </c>
      <c r="P2" s="96">
        <v>2.95</v>
      </c>
      <c r="Q2" s="96">
        <v>133</v>
      </c>
      <c r="R2" s="96">
        <v>98</v>
      </c>
      <c r="S2" s="98" t="s">
        <v>22</v>
      </c>
      <c r="T2" s="1"/>
      <c r="U2" s="1"/>
      <c r="V2" s="2"/>
    </row>
    <row r="3" spans="1:22" ht="15" customHeight="1" x14ac:dyDescent="0.2">
      <c r="A3" s="99">
        <v>45537</v>
      </c>
      <c r="B3" s="100" t="s">
        <v>19</v>
      </c>
      <c r="C3" s="102" t="s">
        <v>23</v>
      </c>
      <c r="D3" s="101">
        <v>5</v>
      </c>
      <c r="E3" s="101" t="s">
        <v>21</v>
      </c>
      <c r="F3" s="101">
        <v>35</v>
      </c>
      <c r="G3" s="101">
        <v>110</v>
      </c>
      <c r="H3" s="101">
        <v>740</v>
      </c>
      <c r="I3" s="101">
        <v>188</v>
      </c>
      <c r="J3" s="101">
        <v>1.02</v>
      </c>
      <c r="K3" s="101">
        <v>733</v>
      </c>
      <c r="L3" s="101">
        <v>207</v>
      </c>
      <c r="M3" s="101">
        <v>1.1299999999999999</v>
      </c>
      <c r="N3" s="101">
        <v>1473</v>
      </c>
      <c r="O3" s="101">
        <v>395</v>
      </c>
      <c r="P3" s="101">
        <v>2.15</v>
      </c>
      <c r="Q3" s="101">
        <v>103</v>
      </c>
      <c r="R3" s="103">
        <v>74</v>
      </c>
      <c r="S3" s="104" t="s">
        <v>22</v>
      </c>
      <c r="T3" s="3"/>
      <c r="U3" s="3"/>
      <c r="V3" s="4"/>
    </row>
    <row r="4" spans="1:22" ht="15" customHeight="1" x14ac:dyDescent="0.2">
      <c r="A4" s="99">
        <v>45638</v>
      </c>
      <c r="B4" s="100" t="s">
        <v>24</v>
      </c>
      <c r="C4" s="102" t="s">
        <v>23</v>
      </c>
      <c r="D4" s="101">
        <v>5</v>
      </c>
      <c r="E4" s="101" t="s">
        <v>21</v>
      </c>
      <c r="F4" s="101">
        <v>35</v>
      </c>
      <c r="G4" s="101">
        <v>135</v>
      </c>
      <c r="H4" s="101">
        <v>750</v>
      </c>
      <c r="I4" s="101">
        <v>266</v>
      </c>
      <c r="J4" s="101">
        <v>1.42</v>
      </c>
      <c r="K4" s="101">
        <v>784</v>
      </c>
      <c r="L4" s="101">
        <v>268</v>
      </c>
      <c r="M4" s="101">
        <v>1.36</v>
      </c>
      <c r="N4" s="101">
        <v>1534</v>
      </c>
      <c r="O4" s="101">
        <v>534</v>
      </c>
      <c r="P4" s="101">
        <v>2.78</v>
      </c>
      <c r="Q4" s="101">
        <v>40</v>
      </c>
      <c r="R4" s="101">
        <v>74</v>
      </c>
      <c r="S4" s="105" t="s">
        <v>25</v>
      </c>
      <c r="V4" s="5"/>
    </row>
    <row r="5" spans="1:22" ht="15" customHeight="1" thickBot="1" x14ac:dyDescent="0.25">
      <c r="A5" s="99">
        <v>45538</v>
      </c>
      <c r="B5" s="100" t="s">
        <v>19</v>
      </c>
      <c r="C5" s="102" t="s">
        <v>26</v>
      </c>
      <c r="D5" s="101">
        <v>5</v>
      </c>
      <c r="E5" s="101" t="s">
        <v>21</v>
      </c>
      <c r="F5" s="101">
        <v>28</v>
      </c>
      <c r="G5" s="101">
        <v>130</v>
      </c>
      <c r="H5" s="101">
        <v>579</v>
      </c>
      <c r="I5" s="101">
        <v>253</v>
      </c>
      <c r="J5" s="101">
        <v>1.75</v>
      </c>
      <c r="K5" s="101">
        <v>604</v>
      </c>
      <c r="L5" s="101">
        <v>268</v>
      </c>
      <c r="M5" s="101">
        <v>1.78</v>
      </c>
      <c r="N5" s="101">
        <v>1183</v>
      </c>
      <c r="O5" s="101">
        <v>521</v>
      </c>
      <c r="P5" s="101">
        <v>3.53</v>
      </c>
      <c r="Q5" s="101">
        <v>21</v>
      </c>
      <c r="R5" s="101">
        <v>104</v>
      </c>
      <c r="S5" s="105"/>
      <c r="T5" s="6"/>
      <c r="U5" s="6"/>
      <c r="V5" s="7"/>
    </row>
    <row r="6" spans="1:22" ht="16" x14ac:dyDescent="0.2">
      <c r="A6" s="99">
        <v>45632</v>
      </c>
      <c r="B6" s="100" t="s">
        <v>24</v>
      </c>
      <c r="C6" s="102" t="s">
        <v>26</v>
      </c>
      <c r="D6" s="101">
        <v>5</v>
      </c>
      <c r="E6" s="101" t="s">
        <v>21</v>
      </c>
      <c r="F6" s="101">
        <v>28</v>
      </c>
      <c r="G6" s="101">
        <v>135</v>
      </c>
      <c r="H6" s="101">
        <v>606</v>
      </c>
      <c r="I6" s="101">
        <v>266</v>
      </c>
      <c r="J6" s="101">
        <v>1.76</v>
      </c>
      <c r="K6" s="101">
        <v>640</v>
      </c>
      <c r="L6" s="101">
        <v>267</v>
      </c>
      <c r="M6" s="101">
        <v>1.67</v>
      </c>
      <c r="N6" s="101">
        <v>1246</v>
      </c>
      <c r="O6" s="101">
        <v>533</v>
      </c>
      <c r="P6" s="101">
        <v>3.43</v>
      </c>
      <c r="Q6" s="101">
        <v>26</v>
      </c>
      <c r="R6" s="101">
        <v>104</v>
      </c>
      <c r="S6" s="105"/>
    </row>
    <row r="7" spans="1:22" ht="16" x14ac:dyDescent="0.2">
      <c r="A7" s="99">
        <v>45538</v>
      </c>
      <c r="B7" s="100" t="s">
        <v>19</v>
      </c>
      <c r="C7" s="102" t="s">
        <v>27</v>
      </c>
      <c r="D7" s="101">
        <v>5</v>
      </c>
      <c r="E7" s="101" t="s">
        <v>28</v>
      </c>
      <c r="F7" s="101">
        <v>37</v>
      </c>
      <c r="G7" s="101">
        <v>140</v>
      </c>
      <c r="H7" s="101">
        <v>619</v>
      </c>
      <c r="I7" s="101">
        <v>306</v>
      </c>
      <c r="J7" s="101">
        <v>1.98</v>
      </c>
      <c r="K7" s="101">
        <v>648</v>
      </c>
      <c r="L7" s="101">
        <v>330</v>
      </c>
      <c r="M7" s="101">
        <v>2.0299999999999998</v>
      </c>
      <c r="N7" s="101">
        <v>1267</v>
      </c>
      <c r="O7" s="101">
        <v>636</v>
      </c>
      <c r="P7" s="101">
        <v>4.01</v>
      </c>
      <c r="Q7" s="101">
        <v>14</v>
      </c>
      <c r="R7" s="101">
        <v>112</v>
      </c>
      <c r="S7" s="105"/>
    </row>
    <row r="8" spans="1:22" ht="16" x14ac:dyDescent="0.2">
      <c r="A8" s="99">
        <v>45638</v>
      </c>
      <c r="B8" s="100" t="s">
        <v>24</v>
      </c>
      <c r="C8" s="102" t="s">
        <v>27</v>
      </c>
      <c r="D8" s="101">
        <v>5</v>
      </c>
      <c r="E8" s="101" t="s">
        <v>28</v>
      </c>
      <c r="F8" s="101">
        <v>37</v>
      </c>
      <c r="G8" s="101">
        <v>140</v>
      </c>
      <c r="H8" s="101">
        <v>708</v>
      </c>
      <c r="I8" s="101">
        <v>397</v>
      </c>
      <c r="J8" s="101">
        <v>1.74</v>
      </c>
      <c r="K8" s="101">
        <v>694</v>
      </c>
      <c r="L8" s="101">
        <v>304</v>
      </c>
      <c r="M8" s="101">
        <v>1.75</v>
      </c>
      <c r="N8" s="101">
        <v>1402</v>
      </c>
      <c r="O8" s="101">
        <v>701</v>
      </c>
      <c r="P8" s="101">
        <v>3.49</v>
      </c>
      <c r="Q8" s="101">
        <v>20</v>
      </c>
      <c r="R8" s="101">
        <v>112</v>
      </c>
      <c r="S8" s="105"/>
    </row>
    <row r="9" spans="1:22" ht="16" x14ac:dyDescent="0.2">
      <c r="A9" s="99">
        <v>45539</v>
      </c>
      <c r="B9" s="100" t="s">
        <v>19</v>
      </c>
      <c r="C9" s="102" t="s">
        <v>29</v>
      </c>
      <c r="D9" s="101">
        <v>5</v>
      </c>
      <c r="E9" s="101" t="s">
        <v>21</v>
      </c>
      <c r="F9" s="101">
        <v>35</v>
      </c>
      <c r="G9" s="101">
        <v>140</v>
      </c>
      <c r="H9" s="101">
        <v>802</v>
      </c>
      <c r="I9" s="101">
        <v>181</v>
      </c>
      <c r="J9" s="101">
        <v>0.9</v>
      </c>
      <c r="K9" s="101">
        <v>698</v>
      </c>
      <c r="L9" s="101">
        <v>175</v>
      </c>
      <c r="M9" s="101">
        <v>1</v>
      </c>
      <c r="N9" s="101">
        <v>1500</v>
      </c>
      <c r="O9" s="101">
        <v>356</v>
      </c>
      <c r="P9" s="101">
        <v>1.9</v>
      </c>
      <c r="Q9" s="101">
        <v>14</v>
      </c>
      <c r="R9" s="101">
        <v>112</v>
      </c>
      <c r="S9" s="105"/>
    </row>
    <row r="10" spans="1:22" ht="16" x14ac:dyDescent="0.2">
      <c r="A10" s="99">
        <v>45539</v>
      </c>
      <c r="B10" s="100" t="s">
        <v>19</v>
      </c>
      <c r="C10" s="102" t="s">
        <v>30</v>
      </c>
      <c r="D10" s="101">
        <v>4</v>
      </c>
      <c r="E10" s="101" t="s">
        <v>31</v>
      </c>
      <c r="F10" s="101">
        <v>41</v>
      </c>
      <c r="G10" s="101">
        <v>140</v>
      </c>
      <c r="H10" s="101">
        <v>599</v>
      </c>
      <c r="I10" s="101">
        <v>305</v>
      </c>
      <c r="J10" s="101">
        <v>2.04</v>
      </c>
      <c r="K10" s="101">
        <v>645</v>
      </c>
      <c r="L10" s="101">
        <v>314</v>
      </c>
      <c r="M10" s="101">
        <v>1.94</v>
      </c>
      <c r="N10" s="101">
        <v>1244</v>
      </c>
      <c r="O10" s="101">
        <v>619</v>
      </c>
      <c r="P10" s="101">
        <v>3.98</v>
      </c>
      <c r="Q10" s="101">
        <v>9</v>
      </c>
      <c r="R10" s="101">
        <v>112</v>
      </c>
      <c r="S10" s="105"/>
    </row>
    <row r="11" spans="1:22" ht="16" x14ac:dyDescent="0.2">
      <c r="A11" s="99">
        <v>45631</v>
      </c>
      <c r="B11" s="100" t="s">
        <v>24</v>
      </c>
      <c r="C11" s="102" t="s">
        <v>30</v>
      </c>
      <c r="D11" s="101">
        <v>4</v>
      </c>
      <c r="E11" s="101" t="s">
        <v>32</v>
      </c>
      <c r="F11" s="101">
        <v>41</v>
      </c>
      <c r="G11" s="101">
        <v>141</v>
      </c>
      <c r="H11" s="101">
        <v>650</v>
      </c>
      <c r="I11" s="101">
        <v>293</v>
      </c>
      <c r="J11" s="101">
        <v>1.8</v>
      </c>
      <c r="K11" s="101">
        <v>691</v>
      </c>
      <c r="L11" s="101">
        <v>298</v>
      </c>
      <c r="M11" s="101">
        <v>1.72</v>
      </c>
      <c r="N11" s="101">
        <v>1341</v>
      </c>
      <c r="O11" s="101">
        <v>591</v>
      </c>
      <c r="P11" s="101">
        <v>3.52</v>
      </c>
      <c r="Q11" s="101">
        <v>9</v>
      </c>
      <c r="R11" s="101">
        <v>107</v>
      </c>
      <c r="S11" s="105" t="s">
        <v>33</v>
      </c>
    </row>
    <row r="12" spans="1:22" ht="16" x14ac:dyDescent="0.2">
      <c r="A12" s="99">
        <v>45539</v>
      </c>
      <c r="B12" s="100" t="s">
        <v>19</v>
      </c>
      <c r="C12" s="102" t="s">
        <v>34</v>
      </c>
      <c r="D12" s="101">
        <v>6</v>
      </c>
      <c r="E12" s="101" t="s">
        <v>28</v>
      </c>
      <c r="F12" s="101">
        <v>50</v>
      </c>
      <c r="G12" s="101">
        <v>225</v>
      </c>
      <c r="H12" s="101">
        <v>1177</v>
      </c>
      <c r="I12" s="101">
        <v>455</v>
      </c>
      <c r="J12" s="101">
        <v>1.55</v>
      </c>
      <c r="K12" s="101">
        <v>1113</v>
      </c>
      <c r="L12" s="101">
        <v>469</v>
      </c>
      <c r="M12" s="101">
        <v>1.69</v>
      </c>
      <c r="N12" s="101">
        <v>2290</v>
      </c>
      <c r="O12" s="101">
        <v>924</v>
      </c>
      <c r="P12" s="101">
        <v>3.24</v>
      </c>
      <c r="Q12" s="101">
        <v>12</v>
      </c>
      <c r="R12" s="101">
        <v>180</v>
      </c>
      <c r="S12" s="105"/>
    </row>
    <row r="13" spans="1:22" ht="16" x14ac:dyDescent="0.2">
      <c r="A13" s="99">
        <v>45632</v>
      </c>
      <c r="B13" s="100" t="s">
        <v>24</v>
      </c>
      <c r="C13" s="102" t="s">
        <v>34</v>
      </c>
      <c r="D13" s="101">
        <v>6</v>
      </c>
      <c r="E13" s="101" t="s">
        <v>35</v>
      </c>
      <c r="F13" s="101">
        <v>50</v>
      </c>
      <c r="G13" s="101">
        <v>240</v>
      </c>
      <c r="H13" s="101">
        <v>1076</v>
      </c>
      <c r="I13" s="101">
        <v>519</v>
      </c>
      <c r="J13" s="101">
        <v>1.93</v>
      </c>
      <c r="K13" s="101">
        <v>1054</v>
      </c>
      <c r="L13" s="101">
        <v>562</v>
      </c>
      <c r="M13" s="101">
        <v>2.13</v>
      </c>
      <c r="N13" s="101">
        <v>2130</v>
      </c>
      <c r="O13" s="101">
        <v>1081</v>
      </c>
      <c r="P13" s="101">
        <v>4.0599999999999996</v>
      </c>
      <c r="Q13" s="101">
        <v>35</v>
      </c>
      <c r="R13" s="101">
        <v>180</v>
      </c>
      <c r="S13" s="105"/>
    </row>
    <row r="14" spans="1:22" ht="16" x14ac:dyDescent="0.2">
      <c r="A14" s="99">
        <v>45540</v>
      </c>
      <c r="B14" s="100" t="s">
        <v>19</v>
      </c>
      <c r="C14" s="102" t="s">
        <v>36</v>
      </c>
      <c r="D14" s="101">
        <v>7</v>
      </c>
      <c r="E14" s="101" t="s">
        <v>21</v>
      </c>
      <c r="F14" s="101">
        <v>44</v>
      </c>
      <c r="G14" s="101">
        <v>150</v>
      </c>
      <c r="H14" s="101">
        <v>729</v>
      </c>
      <c r="I14" s="101">
        <v>314</v>
      </c>
      <c r="J14" s="101">
        <v>1.75</v>
      </c>
      <c r="K14" s="101">
        <v>707</v>
      </c>
      <c r="L14" s="101">
        <v>325</v>
      </c>
      <c r="M14" s="101">
        <v>1.84</v>
      </c>
      <c r="N14" s="101">
        <v>1436</v>
      </c>
      <c r="O14" s="101">
        <v>639</v>
      </c>
      <c r="P14" s="101">
        <v>3.59</v>
      </c>
      <c r="Q14" s="101">
        <v>15</v>
      </c>
      <c r="R14" s="101">
        <v>120</v>
      </c>
      <c r="S14" s="105"/>
    </row>
    <row r="15" spans="1:22" ht="16" x14ac:dyDescent="0.2">
      <c r="A15" s="99">
        <v>45637</v>
      </c>
      <c r="B15" s="100" t="s">
        <v>24</v>
      </c>
      <c r="C15" s="102" t="s">
        <v>36</v>
      </c>
      <c r="D15" s="101">
        <v>7</v>
      </c>
      <c r="E15" s="101" t="s">
        <v>21</v>
      </c>
      <c r="F15" s="101">
        <v>44</v>
      </c>
      <c r="G15" s="101">
        <v>174</v>
      </c>
      <c r="H15" s="101">
        <v>1046</v>
      </c>
      <c r="I15" s="101">
        <v>362</v>
      </c>
      <c r="J15" s="101">
        <v>1.39</v>
      </c>
      <c r="K15" s="101">
        <v>1100</v>
      </c>
      <c r="L15" s="101">
        <v>371</v>
      </c>
      <c r="M15" s="101">
        <v>1.35</v>
      </c>
      <c r="N15" s="101">
        <v>2146</v>
      </c>
      <c r="O15" s="101">
        <v>733</v>
      </c>
      <c r="P15" s="101">
        <v>2.74</v>
      </c>
      <c r="Q15" s="101">
        <v>60</v>
      </c>
      <c r="R15" s="101">
        <v>120</v>
      </c>
      <c r="S15" s="105"/>
    </row>
    <row r="16" spans="1:22" ht="16" x14ac:dyDescent="0.2">
      <c r="A16" s="99">
        <v>45540</v>
      </c>
      <c r="B16" s="100" t="s">
        <v>19</v>
      </c>
      <c r="C16" s="102" t="s">
        <v>37</v>
      </c>
      <c r="D16" s="101">
        <v>5</v>
      </c>
      <c r="E16" s="101" t="s">
        <v>21</v>
      </c>
      <c r="F16" s="101">
        <v>25</v>
      </c>
      <c r="G16" s="101">
        <v>100</v>
      </c>
      <c r="H16" s="101">
        <v>450</v>
      </c>
      <c r="I16" s="101">
        <v>238</v>
      </c>
      <c r="J16" s="101">
        <v>2.11</v>
      </c>
      <c r="K16" s="101">
        <v>487</v>
      </c>
      <c r="L16" s="101">
        <v>267</v>
      </c>
      <c r="M16" s="101">
        <v>2.19</v>
      </c>
      <c r="N16" s="101">
        <v>937</v>
      </c>
      <c r="O16" s="101">
        <v>505</v>
      </c>
      <c r="P16" s="101">
        <v>4.3</v>
      </c>
      <c r="Q16" s="101">
        <v>19</v>
      </c>
      <c r="R16" s="101">
        <v>80</v>
      </c>
      <c r="S16" s="105"/>
    </row>
    <row r="17" spans="1:22" ht="16" x14ac:dyDescent="0.2">
      <c r="A17" s="99">
        <v>45540</v>
      </c>
      <c r="B17" s="100" t="s">
        <v>19</v>
      </c>
      <c r="C17" s="102" t="s">
        <v>38</v>
      </c>
      <c r="D17" s="101">
        <v>6</v>
      </c>
      <c r="E17" s="101" t="s">
        <v>28</v>
      </c>
      <c r="F17" s="101">
        <v>45</v>
      </c>
      <c r="G17" s="101">
        <v>200</v>
      </c>
      <c r="H17" s="101">
        <v>883</v>
      </c>
      <c r="I17" s="101">
        <v>377</v>
      </c>
      <c r="J17" s="101">
        <v>1.71</v>
      </c>
      <c r="K17" s="101">
        <v>790</v>
      </c>
      <c r="L17" s="101">
        <v>329</v>
      </c>
      <c r="M17" s="101">
        <v>1.67</v>
      </c>
      <c r="N17" s="101">
        <v>1673</v>
      </c>
      <c r="O17" s="101">
        <v>706</v>
      </c>
      <c r="P17" s="101">
        <v>3.38</v>
      </c>
      <c r="Q17" s="101">
        <v>10</v>
      </c>
      <c r="R17" s="101">
        <v>160</v>
      </c>
      <c r="S17" s="105"/>
    </row>
    <row r="18" spans="1:22" ht="16" x14ac:dyDescent="0.2">
      <c r="A18" s="99">
        <v>45644</v>
      </c>
      <c r="B18" s="100" t="s">
        <v>24</v>
      </c>
      <c r="C18" s="102" t="s">
        <v>38</v>
      </c>
      <c r="D18" s="101">
        <v>6</v>
      </c>
      <c r="E18" s="101" t="s">
        <v>28</v>
      </c>
      <c r="F18" s="101">
        <v>45</v>
      </c>
      <c r="G18" s="101">
        <v>210</v>
      </c>
      <c r="H18" s="101">
        <v>870</v>
      </c>
      <c r="I18" s="101">
        <v>426</v>
      </c>
      <c r="J18" s="101">
        <v>1.96</v>
      </c>
      <c r="K18" s="101">
        <v>849</v>
      </c>
      <c r="L18" s="101">
        <v>402</v>
      </c>
      <c r="M18" s="101">
        <v>1.79</v>
      </c>
      <c r="N18" s="101">
        <v>1719</v>
      </c>
      <c r="O18" s="101">
        <v>828</v>
      </c>
      <c r="P18" s="101">
        <v>3.75</v>
      </c>
      <c r="Q18" s="101">
        <v>22</v>
      </c>
      <c r="R18" s="101">
        <v>160</v>
      </c>
      <c r="S18" s="105"/>
    </row>
    <row r="19" spans="1:22" ht="16" x14ac:dyDescent="0.2">
      <c r="A19" s="99">
        <v>45537</v>
      </c>
      <c r="B19" s="100" t="s">
        <v>19</v>
      </c>
      <c r="C19" s="102" t="s">
        <v>39</v>
      </c>
      <c r="D19" s="101">
        <v>5</v>
      </c>
      <c r="E19" s="101" t="s">
        <v>28</v>
      </c>
      <c r="F19" s="101">
        <v>42</v>
      </c>
      <c r="G19" s="101">
        <v>250</v>
      </c>
      <c r="H19" s="101">
        <v>944</v>
      </c>
      <c r="I19" s="101">
        <v>485</v>
      </c>
      <c r="J19" s="101">
        <v>2.06</v>
      </c>
      <c r="K19" s="101">
        <v>1142</v>
      </c>
      <c r="L19" s="101">
        <v>599</v>
      </c>
      <c r="M19" s="101">
        <v>2.1</v>
      </c>
      <c r="N19" s="101">
        <v>2086</v>
      </c>
      <c r="O19" s="101">
        <v>1084</v>
      </c>
      <c r="P19" s="101">
        <v>4.16</v>
      </c>
      <c r="Q19" s="101">
        <v>17</v>
      </c>
      <c r="R19" s="103">
        <v>175</v>
      </c>
      <c r="S19" s="106" t="s">
        <v>22</v>
      </c>
      <c r="T19" s="3"/>
      <c r="U19" s="3"/>
      <c r="V19" s="3"/>
    </row>
    <row r="20" spans="1:22" ht="16" x14ac:dyDescent="0.2">
      <c r="A20" s="99">
        <v>45644</v>
      </c>
      <c r="B20" s="100" t="s">
        <v>24</v>
      </c>
      <c r="C20" s="102" t="s">
        <v>39</v>
      </c>
      <c r="D20" s="101" t="s">
        <v>40</v>
      </c>
      <c r="E20" s="101" t="s">
        <v>40</v>
      </c>
      <c r="F20" s="101" t="s">
        <v>40</v>
      </c>
      <c r="G20" s="101" t="s">
        <v>40</v>
      </c>
      <c r="H20" s="101" t="s">
        <v>41</v>
      </c>
      <c r="I20" s="101" t="s">
        <v>40</v>
      </c>
      <c r="J20" s="101" t="s">
        <v>40</v>
      </c>
      <c r="K20" s="101" t="s">
        <v>40</v>
      </c>
      <c r="L20" s="101" t="s">
        <v>40</v>
      </c>
      <c r="M20" s="101" t="s">
        <v>40</v>
      </c>
      <c r="N20" s="101" t="s">
        <v>40</v>
      </c>
      <c r="O20" s="101" t="s">
        <v>40</v>
      </c>
      <c r="P20" s="101" t="s">
        <v>40</v>
      </c>
      <c r="Q20" s="101" t="s">
        <v>40</v>
      </c>
      <c r="R20" s="101" t="s">
        <v>40</v>
      </c>
      <c r="S20" s="105" t="s">
        <v>42</v>
      </c>
    </row>
    <row r="21" spans="1:22" ht="16" x14ac:dyDescent="0.2">
      <c r="A21" s="99">
        <v>45538</v>
      </c>
      <c r="B21" s="100" t="s">
        <v>19</v>
      </c>
      <c r="C21" s="102" t="s">
        <v>43</v>
      </c>
      <c r="D21" s="101">
        <v>8</v>
      </c>
      <c r="E21" s="101" t="s">
        <v>28</v>
      </c>
      <c r="F21" s="101">
        <v>40</v>
      </c>
      <c r="G21" s="101">
        <v>205</v>
      </c>
      <c r="H21" s="101">
        <v>842</v>
      </c>
      <c r="I21" s="101">
        <v>445</v>
      </c>
      <c r="J21" s="101">
        <v>2.12</v>
      </c>
      <c r="K21" s="101">
        <v>855</v>
      </c>
      <c r="L21" s="101">
        <v>469</v>
      </c>
      <c r="M21" s="101">
        <v>2.2000000000000002</v>
      </c>
      <c r="N21" s="101">
        <v>1697</v>
      </c>
      <c r="O21" s="101">
        <v>914</v>
      </c>
      <c r="P21" s="101">
        <v>4.32</v>
      </c>
      <c r="Q21" s="101">
        <v>28</v>
      </c>
      <c r="R21" s="101">
        <v>164</v>
      </c>
      <c r="S21" s="105"/>
    </row>
    <row r="22" spans="1:22" ht="16" x14ac:dyDescent="0.2">
      <c r="A22" s="99">
        <v>45639</v>
      </c>
      <c r="B22" s="100" t="s">
        <v>24</v>
      </c>
      <c r="C22" s="102" t="s">
        <v>43</v>
      </c>
      <c r="D22" s="101">
        <v>8</v>
      </c>
      <c r="E22" s="101" t="s">
        <v>28</v>
      </c>
      <c r="F22" s="101">
        <v>40</v>
      </c>
      <c r="G22" s="101">
        <v>235</v>
      </c>
      <c r="H22" s="101">
        <v>833</v>
      </c>
      <c r="I22" s="101">
        <v>403</v>
      </c>
      <c r="J22" s="101">
        <v>1.93</v>
      </c>
      <c r="K22" s="101">
        <v>861</v>
      </c>
      <c r="L22" s="101">
        <v>442</v>
      </c>
      <c r="M22" s="101">
        <v>2.06</v>
      </c>
      <c r="N22" s="101">
        <v>1694</v>
      </c>
      <c r="O22" s="101">
        <v>845</v>
      </c>
      <c r="P22" s="101">
        <v>3.99</v>
      </c>
      <c r="Q22" s="101">
        <v>30</v>
      </c>
      <c r="R22" s="101">
        <v>164</v>
      </c>
      <c r="S22" s="105"/>
    </row>
    <row r="23" spans="1:22" ht="16" x14ac:dyDescent="0.2">
      <c r="A23" s="99">
        <v>45539</v>
      </c>
      <c r="B23" s="100" t="s">
        <v>19</v>
      </c>
      <c r="C23" s="102" t="s">
        <v>44</v>
      </c>
      <c r="D23" s="101">
        <v>7</v>
      </c>
      <c r="E23" s="101" t="s">
        <v>31</v>
      </c>
      <c r="F23" s="101">
        <v>42</v>
      </c>
      <c r="G23" s="101">
        <v>250</v>
      </c>
      <c r="H23" s="101">
        <v>1008</v>
      </c>
      <c r="I23" s="101">
        <v>553</v>
      </c>
      <c r="J23" s="101">
        <v>2.19</v>
      </c>
      <c r="K23" s="101">
        <v>1089</v>
      </c>
      <c r="L23" s="101">
        <v>644</v>
      </c>
      <c r="M23" s="101">
        <v>2.36</v>
      </c>
      <c r="N23" s="101">
        <v>2097</v>
      </c>
      <c r="O23" s="101">
        <v>1197</v>
      </c>
      <c r="P23" s="101">
        <v>4.55</v>
      </c>
      <c r="Q23" s="101">
        <v>7</v>
      </c>
      <c r="R23" s="101">
        <v>200</v>
      </c>
      <c r="S23" s="105"/>
    </row>
    <row r="24" spans="1:22" ht="16" x14ac:dyDescent="0.2">
      <c r="A24" s="99">
        <v>45639</v>
      </c>
      <c r="B24" s="100" t="s">
        <v>24</v>
      </c>
      <c r="C24" s="102" t="s">
        <v>44</v>
      </c>
      <c r="D24" s="101">
        <v>7</v>
      </c>
      <c r="E24" s="101" t="s">
        <v>31</v>
      </c>
      <c r="F24" s="101">
        <v>42</v>
      </c>
      <c r="G24" s="101">
        <v>300</v>
      </c>
      <c r="H24" s="101">
        <v>1283</v>
      </c>
      <c r="I24" s="101">
        <v>648</v>
      </c>
      <c r="J24" s="101">
        <v>2.02</v>
      </c>
      <c r="K24" s="101">
        <v>1422</v>
      </c>
      <c r="L24" s="101">
        <v>766</v>
      </c>
      <c r="M24" s="101">
        <v>2.15</v>
      </c>
      <c r="N24" s="101">
        <v>2705</v>
      </c>
      <c r="O24" s="101">
        <v>1414</v>
      </c>
      <c r="P24" s="101">
        <v>4.17</v>
      </c>
      <c r="Q24" s="101">
        <v>21</v>
      </c>
      <c r="R24" s="101">
        <v>200</v>
      </c>
      <c r="S24" s="105"/>
    </row>
    <row r="25" spans="1:22" ht="16" x14ac:dyDescent="0.2">
      <c r="A25" s="99">
        <v>45544</v>
      </c>
      <c r="B25" s="100" t="s">
        <v>19</v>
      </c>
      <c r="C25" s="102" t="s">
        <v>45</v>
      </c>
      <c r="D25" s="101">
        <v>6</v>
      </c>
      <c r="E25" s="101" t="s">
        <v>21</v>
      </c>
      <c r="F25" s="101">
        <v>46</v>
      </c>
      <c r="G25" s="101">
        <v>250</v>
      </c>
      <c r="H25" s="101">
        <v>1109</v>
      </c>
      <c r="I25" s="101">
        <v>425</v>
      </c>
      <c r="J25" s="101">
        <v>1.53</v>
      </c>
      <c r="K25" s="101">
        <v>1198</v>
      </c>
      <c r="L25" s="101">
        <v>456</v>
      </c>
      <c r="M25" s="101">
        <v>1.52</v>
      </c>
      <c r="N25" s="101">
        <v>2307</v>
      </c>
      <c r="O25" s="101">
        <v>881</v>
      </c>
      <c r="P25" s="101">
        <v>3.54</v>
      </c>
      <c r="Q25" s="101">
        <v>15</v>
      </c>
      <c r="R25" s="101">
        <v>200</v>
      </c>
      <c r="S25" s="105"/>
    </row>
    <row r="26" spans="1:22" ht="16" x14ac:dyDescent="0.2">
      <c r="A26" s="99">
        <v>45636</v>
      </c>
      <c r="B26" s="100" t="s">
        <v>24</v>
      </c>
      <c r="C26" s="102" t="s">
        <v>45</v>
      </c>
      <c r="D26" s="101">
        <v>6</v>
      </c>
      <c r="E26" s="101" t="s">
        <v>21</v>
      </c>
      <c r="F26" s="101">
        <v>45</v>
      </c>
      <c r="G26" s="101">
        <v>200</v>
      </c>
      <c r="H26" s="101">
        <v>1345</v>
      </c>
      <c r="I26" s="101">
        <v>480</v>
      </c>
      <c r="J26" s="101">
        <v>1.43</v>
      </c>
      <c r="K26" s="101">
        <v>1574</v>
      </c>
      <c r="L26" s="101">
        <v>549</v>
      </c>
      <c r="M26" s="101">
        <v>1.39</v>
      </c>
      <c r="N26" s="101">
        <v>2919</v>
      </c>
      <c r="O26" s="101">
        <v>1029</v>
      </c>
      <c r="P26" s="101">
        <v>2.82</v>
      </c>
      <c r="Q26" s="101">
        <v>24</v>
      </c>
      <c r="R26" s="101">
        <v>200</v>
      </c>
      <c r="S26" s="105"/>
    </row>
    <row r="27" spans="1:22" ht="16" x14ac:dyDescent="0.2">
      <c r="A27" s="99">
        <v>45545</v>
      </c>
      <c r="B27" s="100" t="s">
        <v>19</v>
      </c>
      <c r="C27" s="102" t="s">
        <v>46</v>
      </c>
      <c r="D27" s="101">
        <v>7</v>
      </c>
      <c r="E27" s="101" t="s">
        <v>21</v>
      </c>
      <c r="F27" s="101">
        <v>48</v>
      </c>
      <c r="G27" s="101">
        <v>220</v>
      </c>
      <c r="H27" s="101">
        <v>1208</v>
      </c>
      <c r="I27" s="101">
        <v>600</v>
      </c>
      <c r="J27" s="101">
        <v>1.99</v>
      </c>
      <c r="K27" s="101">
        <v>1280</v>
      </c>
      <c r="L27" s="101">
        <v>725</v>
      </c>
      <c r="M27" s="101">
        <v>2.2599999999999998</v>
      </c>
      <c r="N27" s="101">
        <v>2488</v>
      </c>
      <c r="O27" s="101">
        <v>1325</v>
      </c>
      <c r="P27" s="101">
        <v>4.25</v>
      </c>
      <c r="Q27" s="101">
        <v>13</v>
      </c>
      <c r="R27" s="101">
        <v>176</v>
      </c>
      <c r="S27" s="105"/>
    </row>
    <row r="28" spans="1:22" ht="16" x14ac:dyDescent="0.2">
      <c r="A28" s="99">
        <v>45639</v>
      </c>
      <c r="B28" s="100" t="s">
        <v>24</v>
      </c>
      <c r="C28" s="102" t="s">
        <v>46</v>
      </c>
      <c r="D28" s="101">
        <v>7</v>
      </c>
      <c r="E28" s="101" t="s">
        <v>21</v>
      </c>
      <c r="F28" s="101">
        <v>48</v>
      </c>
      <c r="G28" s="101">
        <v>250</v>
      </c>
      <c r="H28" s="101">
        <v>1113</v>
      </c>
      <c r="I28" s="101">
        <v>594</v>
      </c>
      <c r="J28" s="101">
        <v>2.13</v>
      </c>
      <c r="K28" s="101">
        <v>1262</v>
      </c>
      <c r="L28" s="101">
        <v>701</v>
      </c>
      <c r="M28" s="101">
        <v>2.2200000000000002</v>
      </c>
      <c r="N28" s="101">
        <v>2375</v>
      </c>
      <c r="O28" s="101">
        <v>1295</v>
      </c>
      <c r="P28" s="101">
        <v>4.3499999999999996</v>
      </c>
      <c r="Q28" s="101">
        <v>29</v>
      </c>
      <c r="R28" s="101">
        <v>176</v>
      </c>
      <c r="S28" s="105"/>
    </row>
    <row r="29" spans="1:22" ht="16" x14ac:dyDescent="0.2">
      <c r="A29" s="99">
        <v>45552</v>
      </c>
      <c r="B29" s="100" t="s">
        <v>19</v>
      </c>
      <c r="C29" s="102" t="s">
        <v>47</v>
      </c>
      <c r="D29" s="101">
        <v>6</v>
      </c>
      <c r="E29" s="101" t="s">
        <v>35</v>
      </c>
      <c r="F29" s="101">
        <v>40</v>
      </c>
      <c r="G29" s="101">
        <v>185</v>
      </c>
      <c r="H29" s="101">
        <v>871</v>
      </c>
      <c r="I29" s="101">
        <v>276</v>
      </c>
      <c r="J29" s="101">
        <v>1.27</v>
      </c>
      <c r="K29" s="101">
        <v>994</v>
      </c>
      <c r="L29" s="101">
        <v>336</v>
      </c>
      <c r="M29" s="101">
        <v>1.35</v>
      </c>
      <c r="N29" s="101">
        <v>1865</v>
      </c>
      <c r="O29" s="101">
        <v>612</v>
      </c>
      <c r="P29" s="101">
        <v>2.62</v>
      </c>
      <c r="Q29" s="101">
        <v>12</v>
      </c>
      <c r="R29" s="101">
        <v>148</v>
      </c>
      <c r="S29" s="105"/>
    </row>
    <row r="30" spans="1:22" ht="16" x14ac:dyDescent="0.2">
      <c r="A30" s="99">
        <v>45637</v>
      </c>
      <c r="B30" s="100" t="s">
        <v>24</v>
      </c>
      <c r="C30" s="102" t="s">
        <v>47</v>
      </c>
      <c r="D30" s="101">
        <v>6</v>
      </c>
      <c r="E30" s="101" t="s">
        <v>35</v>
      </c>
      <c r="F30" s="101">
        <v>40</v>
      </c>
      <c r="G30" s="101">
        <v>190</v>
      </c>
      <c r="H30" s="101">
        <v>846</v>
      </c>
      <c r="I30" s="101">
        <v>358</v>
      </c>
      <c r="J30" s="101">
        <v>1.69</v>
      </c>
      <c r="K30" s="101">
        <v>855</v>
      </c>
      <c r="L30" s="101">
        <v>382</v>
      </c>
      <c r="M30" s="101">
        <v>1.79</v>
      </c>
      <c r="N30" s="101">
        <v>1701</v>
      </c>
      <c r="O30" s="101">
        <v>740</v>
      </c>
      <c r="P30" s="101">
        <v>3.48</v>
      </c>
      <c r="Q30" s="101">
        <v>15</v>
      </c>
      <c r="R30" s="101">
        <v>148</v>
      </c>
      <c r="S30" s="105"/>
    </row>
    <row r="31" spans="1:22" ht="16" x14ac:dyDescent="0.2">
      <c r="A31" s="99">
        <v>45538</v>
      </c>
      <c r="B31" s="100" t="s">
        <v>19</v>
      </c>
      <c r="C31" s="102" t="s">
        <v>48</v>
      </c>
      <c r="D31" s="101">
        <v>5</v>
      </c>
      <c r="E31" s="101" t="s">
        <v>21</v>
      </c>
      <c r="F31" s="101">
        <v>36</v>
      </c>
      <c r="G31" s="101">
        <v>120</v>
      </c>
      <c r="H31" s="101">
        <v>478</v>
      </c>
      <c r="I31" s="101">
        <v>220</v>
      </c>
      <c r="J31" s="101">
        <v>1.84</v>
      </c>
      <c r="K31" s="101">
        <v>510</v>
      </c>
      <c r="L31" s="101">
        <v>234</v>
      </c>
      <c r="M31" s="101">
        <v>1.84</v>
      </c>
      <c r="N31" s="101">
        <v>988</v>
      </c>
      <c r="O31" s="101">
        <v>454</v>
      </c>
      <c r="P31" s="101">
        <v>3.68</v>
      </c>
      <c r="Q31" s="101">
        <v>9</v>
      </c>
      <c r="R31" s="101">
        <v>96</v>
      </c>
      <c r="S31" s="105"/>
    </row>
    <row r="32" spans="1:22" ht="16" x14ac:dyDescent="0.2">
      <c r="A32" s="99">
        <v>45546</v>
      </c>
      <c r="B32" s="100" t="s">
        <v>19</v>
      </c>
      <c r="C32" s="102" t="s">
        <v>49</v>
      </c>
      <c r="D32" s="101">
        <v>4</v>
      </c>
      <c r="E32" s="101" t="s">
        <v>21</v>
      </c>
      <c r="F32" s="101">
        <v>30</v>
      </c>
      <c r="G32" s="101">
        <v>145</v>
      </c>
      <c r="H32" s="101">
        <v>604</v>
      </c>
      <c r="I32" s="101">
        <v>197</v>
      </c>
      <c r="J32" s="101">
        <v>1.3</v>
      </c>
      <c r="K32" s="101">
        <v>600</v>
      </c>
      <c r="L32" s="101">
        <v>226</v>
      </c>
      <c r="M32" s="101">
        <v>1.5</v>
      </c>
      <c r="N32" s="101">
        <v>1204</v>
      </c>
      <c r="O32" s="101">
        <v>423</v>
      </c>
      <c r="P32" s="101">
        <v>2.8</v>
      </c>
      <c r="Q32" s="101">
        <v>12</v>
      </c>
      <c r="R32" s="101">
        <v>116</v>
      </c>
      <c r="S32" s="105"/>
    </row>
    <row r="33" spans="1:19" ht="16" x14ac:dyDescent="0.2">
      <c r="A33" s="99">
        <v>45632</v>
      </c>
      <c r="B33" s="100" t="s">
        <v>24</v>
      </c>
      <c r="C33" s="102" t="s">
        <v>49</v>
      </c>
      <c r="D33" s="101">
        <v>4</v>
      </c>
      <c r="E33" s="101" t="s">
        <v>21</v>
      </c>
      <c r="F33" s="101">
        <v>30</v>
      </c>
      <c r="G33" s="101">
        <v>160</v>
      </c>
      <c r="H33" s="101">
        <v>756</v>
      </c>
      <c r="I33" s="101">
        <v>306</v>
      </c>
      <c r="J33" s="101">
        <v>1.62</v>
      </c>
      <c r="K33" s="101">
        <v>840</v>
      </c>
      <c r="L33" s="101">
        <v>347</v>
      </c>
      <c r="M33" s="101">
        <v>1.65</v>
      </c>
      <c r="N33" s="101">
        <v>1596</v>
      </c>
      <c r="O33" s="101">
        <v>653</v>
      </c>
      <c r="P33" s="101">
        <v>3.27</v>
      </c>
      <c r="Q33" s="101">
        <v>36</v>
      </c>
      <c r="R33" s="101">
        <v>116</v>
      </c>
      <c r="S33" s="105"/>
    </row>
    <row r="34" spans="1:19" ht="16" x14ac:dyDescent="0.2">
      <c r="A34" s="99">
        <v>45540</v>
      </c>
      <c r="B34" s="100" t="s">
        <v>19</v>
      </c>
      <c r="C34" s="102" t="s">
        <v>50</v>
      </c>
      <c r="D34" s="101">
        <v>5</v>
      </c>
      <c r="E34" s="101" t="s">
        <v>21</v>
      </c>
      <c r="F34" s="101">
        <v>39</v>
      </c>
      <c r="G34" s="101">
        <v>185</v>
      </c>
      <c r="H34" s="101">
        <v>695</v>
      </c>
      <c r="I34" s="101">
        <v>348</v>
      </c>
      <c r="J34" s="101">
        <v>2</v>
      </c>
      <c r="K34" s="101">
        <v>708</v>
      </c>
      <c r="L34" s="101">
        <v>340</v>
      </c>
      <c r="M34" s="101">
        <v>1.92</v>
      </c>
      <c r="N34" s="101">
        <v>1403</v>
      </c>
      <c r="O34" s="101">
        <v>688</v>
      </c>
      <c r="P34" s="101">
        <v>3.92</v>
      </c>
      <c r="Q34" s="101">
        <v>15</v>
      </c>
      <c r="R34" s="101">
        <v>148</v>
      </c>
      <c r="S34" s="105"/>
    </row>
    <row r="35" spans="1:19" ht="16" x14ac:dyDescent="0.2">
      <c r="A35" s="99">
        <v>45541</v>
      </c>
      <c r="B35" s="100" t="s">
        <v>19</v>
      </c>
      <c r="C35" s="102" t="s">
        <v>51</v>
      </c>
      <c r="D35" s="101">
        <v>3</v>
      </c>
      <c r="E35" s="101" t="s">
        <v>21</v>
      </c>
      <c r="F35" s="101">
        <v>29</v>
      </c>
      <c r="G35" s="101">
        <v>100</v>
      </c>
      <c r="H35" s="101">
        <v>485</v>
      </c>
      <c r="I35" s="101">
        <v>222</v>
      </c>
      <c r="J35" s="101">
        <v>1.83</v>
      </c>
      <c r="K35" s="101">
        <v>523</v>
      </c>
      <c r="L35" s="101">
        <v>244</v>
      </c>
      <c r="M35" s="101">
        <v>1.87</v>
      </c>
      <c r="N35" s="101">
        <v>1008</v>
      </c>
      <c r="O35" s="101">
        <v>466</v>
      </c>
      <c r="P35" s="101">
        <v>3.7</v>
      </c>
      <c r="Q35" s="101">
        <v>40</v>
      </c>
      <c r="R35" s="101">
        <v>80</v>
      </c>
      <c r="S35" s="105"/>
    </row>
    <row r="36" spans="1:19" ht="16" x14ac:dyDescent="0.2">
      <c r="A36" s="99">
        <v>45631</v>
      </c>
      <c r="B36" s="100" t="s">
        <v>24</v>
      </c>
      <c r="C36" s="102" t="s">
        <v>51</v>
      </c>
      <c r="D36" s="101">
        <v>3</v>
      </c>
      <c r="E36" s="101" t="s">
        <v>21</v>
      </c>
      <c r="F36" s="101">
        <v>29</v>
      </c>
      <c r="G36" s="101">
        <v>124</v>
      </c>
      <c r="H36" s="101">
        <v>598</v>
      </c>
      <c r="I36" s="101">
        <v>245</v>
      </c>
      <c r="J36" s="101">
        <v>1.64</v>
      </c>
      <c r="K36" s="101">
        <v>807</v>
      </c>
      <c r="L36" s="101">
        <v>294</v>
      </c>
      <c r="M36" s="101">
        <v>1.46</v>
      </c>
      <c r="N36" s="101">
        <v>1405</v>
      </c>
      <c r="O36" s="101">
        <v>539</v>
      </c>
      <c r="P36" s="101">
        <v>3.1</v>
      </c>
      <c r="Q36" s="101">
        <v>60</v>
      </c>
      <c r="R36" s="101">
        <v>80</v>
      </c>
      <c r="S36" s="105" t="s">
        <v>52</v>
      </c>
    </row>
    <row r="37" spans="1:19" ht="16" x14ac:dyDescent="0.2">
      <c r="A37" s="99">
        <v>45541</v>
      </c>
      <c r="B37" s="100" t="s">
        <v>19</v>
      </c>
      <c r="C37" s="102" t="s">
        <v>53</v>
      </c>
      <c r="D37" s="101">
        <v>5</v>
      </c>
      <c r="E37" s="101" t="s">
        <v>28</v>
      </c>
      <c r="F37" s="101">
        <v>40</v>
      </c>
      <c r="G37" s="101">
        <v>105</v>
      </c>
      <c r="H37" s="101">
        <v>543</v>
      </c>
      <c r="I37" s="101">
        <v>197</v>
      </c>
      <c r="J37" s="101">
        <v>1.45</v>
      </c>
      <c r="K37" s="101">
        <v>557</v>
      </c>
      <c r="L37" s="101">
        <v>205</v>
      </c>
      <c r="M37" s="101">
        <v>1.47</v>
      </c>
      <c r="N37" s="101">
        <v>1100</v>
      </c>
      <c r="O37" s="101">
        <v>402</v>
      </c>
      <c r="P37" s="101">
        <v>2.92</v>
      </c>
      <c r="Q37" s="101">
        <v>14</v>
      </c>
      <c r="R37" s="101">
        <v>84</v>
      </c>
      <c r="S37" s="105"/>
    </row>
    <row r="38" spans="1:19" ht="16" x14ac:dyDescent="0.2">
      <c r="A38" s="99">
        <v>45636</v>
      </c>
      <c r="B38" s="100" t="s">
        <v>24</v>
      </c>
      <c r="C38" s="102" t="s">
        <v>53</v>
      </c>
      <c r="D38" s="101">
        <v>5</v>
      </c>
      <c r="E38" s="101" t="s">
        <v>35</v>
      </c>
      <c r="F38" s="101">
        <v>40</v>
      </c>
      <c r="G38" s="101">
        <v>112</v>
      </c>
      <c r="H38" s="101">
        <v>460</v>
      </c>
      <c r="I38" s="101">
        <v>231</v>
      </c>
      <c r="J38" s="101">
        <v>2.0099999999999998</v>
      </c>
      <c r="K38" s="101">
        <v>501</v>
      </c>
      <c r="L38" s="101">
        <v>253</v>
      </c>
      <c r="M38" s="101">
        <v>2.02</v>
      </c>
      <c r="N38" s="101">
        <v>961</v>
      </c>
      <c r="O38" s="101">
        <v>484</v>
      </c>
      <c r="P38" s="101">
        <v>4.03</v>
      </c>
      <c r="Q38" s="101">
        <v>84</v>
      </c>
      <c r="R38" s="101">
        <v>19</v>
      </c>
      <c r="S38" s="105"/>
    </row>
    <row r="39" spans="1:19" ht="16" x14ac:dyDescent="0.2">
      <c r="A39" s="99">
        <v>45546</v>
      </c>
      <c r="B39" s="100" t="s">
        <v>19</v>
      </c>
      <c r="C39" s="102" t="s">
        <v>54</v>
      </c>
      <c r="D39" s="101">
        <v>6</v>
      </c>
      <c r="E39" s="101" t="s">
        <v>35</v>
      </c>
      <c r="F39" s="101">
        <v>46</v>
      </c>
      <c r="G39" s="101">
        <v>180</v>
      </c>
      <c r="H39" s="101">
        <v>787</v>
      </c>
      <c r="I39" s="101">
        <v>418</v>
      </c>
      <c r="J39" s="101">
        <v>2.13</v>
      </c>
      <c r="K39" s="101">
        <v>850</v>
      </c>
      <c r="L39" s="101">
        <v>453</v>
      </c>
      <c r="M39" s="101">
        <v>2.13</v>
      </c>
      <c r="N39" s="101">
        <v>1637</v>
      </c>
      <c r="O39" s="101">
        <v>871</v>
      </c>
      <c r="P39" s="101">
        <v>4.26</v>
      </c>
      <c r="Q39" s="101">
        <v>15</v>
      </c>
      <c r="R39" s="101">
        <v>144</v>
      </c>
      <c r="S39" s="105"/>
    </row>
    <row r="40" spans="1:19" ht="16" x14ac:dyDescent="0.2">
      <c r="A40" s="99">
        <v>45548</v>
      </c>
      <c r="B40" s="100" t="s">
        <v>19</v>
      </c>
      <c r="C40" s="102" t="s">
        <v>55</v>
      </c>
      <c r="D40" s="101">
        <v>6</v>
      </c>
      <c r="E40" s="101" t="s">
        <v>35</v>
      </c>
      <c r="F40" s="101">
        <v>40</v>
      </c>
      <c r="G40" s="101">
        <v>185</v>
      </c>
      <c r="H40" s="101">
        <v>817</v>
      </c>
      <c r="I40" s="101">
        <v>420</v>
      </c>
      <c r="J40" s="101">
        <v>2.06</v>
      </c>
      <c r="K40" s="101">
        <v>840</v>
      </c>
      <c r="L40" s="101">
        <v>453</v>
      </c>
      <c r="M40" s="101">
        <v>2.16</v>
      </c>
      <c r="N40" s="101">
        <v>1657</v>
      </c>
      <c r="O40" s="101">
        <v>873</v>
      </c>
      <c r="P40" s="101">
        <v>4.22</v>
      </c>
      <c r="Q40" s="101">
        <v>15</v>
      </c>
      <c r="R40" s="101">
        <v>148</v>
      </c>
      <c r="S40" s="105"/>
    </row>
    <row r="41" spans="1:19" ht="16" x14ac:dyDescent="0.2">
      <c r="A41" s="99">
        <v>45636</v>
      </c>
      <c r="B41" s="100" t="s">
        <v>24</v>
      </c>
      <c r="C41" s="102" t="s">
        <v>55</v>
      </c>
      <c r="D41" s="101">
        <v>6</v>
      </c>
      <c r="E41" s="101" t="s">
        <v>35</v>
      </c>
      <c r="F41" s="101">
        <v>40</v>
      </c>
      <c r="G41" s="101">
        <v>205</v>
      </c>
      <c r="H41" s="101">
        <v>931</v>
      </c>
      <c r="I41" s="101">
        <v>514</v>
      </c>
      <c r="J41" s="101">
        <v>2.21</v>
      </c>
      <c r="K41" s="101">
        <v>922</v>
      </c>
      <c r="L41" s="101">
        <v>542</v>
      </c>
      <c r="M41" s="101">
        <v>2.35</v>
      </c>
      <c r="N41" s="101">
        <v>1853</v>
      </c>
      <c r="O41" s="101">
        <v>1056</v>
      </c>
      <c r="P41" s="101">
        <v>4.5599999999999996</v>
      </c>
      <c r="Q41" s="101">
        <v>20</v>
      </c>
      <c r="R41" s="101">
        <v>148</v>
      </c>
      <c r="S41" s="105"/>
    </row>
    <row r="42" spans="1:19" ht="16" x14ac:dyDescent="0.2">
      <c r="A42" s="99">
        <v>45548</v>
      </c>
      <c r="B42" s="100" t="s">
        <v>19</v>
      </c>
      <c r="C42" s="102" t="s">
        <v>56</v>
      </c>
      <c r="D42" s="101">
        <v>6</v>
      </c>
      <c r="E42" s="101" t="s">
        <v>35</v>
      </c>
      <c r="F42" s="101">
        <v>45</v>
      </c>
      <c r="G42" s="101">
        <v>200</v>
      </c>
      <c r="H42" s="101">
        <v>869</v>
      </c>
      <c r="I42" s="101">
        <v>230</v>
      </c>
      <c r="J42" s="101">
        <v>1.06</v>
      </c>
      <c r="K42" s="101">
        <v>929</v>
      </c>
      <c r="L42" s="101">
        <v>251</v>
      </c>
      <c r="M42" s="101">
        <v>1.08</v>
      </c>
      <c r="N42" s="101">
        <v>1798</v>
      </c>
      <c r="O42" s="101">
        <v>481</v>
      </c>
      <c r="P42" s="101">
        <v>2.14</v>
      </c>
      <c r="Q42" s="101">
        <v>11</v>
      </c>
      <c r="R42" s="101">
        <v>160</v>
      </c>
      <c r="S42" s="105"/>
    </row>
    <row r="43" spans="1:19" ht="16" x14ac:dyDescent="0.2">
      <c r="A43" s="99">
        <v>45636</v>
      </c>
      <c r="B43" s="100" t="s">
        <v>24</v>
      </c>
      <c r="C43" s="102" t="s">
        <v>56</v>
      </c>
      <c r="D43" s="101">
        <v>6</v>
      </c>
      <c r="E43" s="101" t="s">
        <v>35</v>
      </c>
      <c r="F43" s="101">
        <v>45</v>
      </c>
      <c r="G43" s="101">
        <v>205</v>
      </c>
      <c r="H43" s="101">
        <v>807</v>
      </c>
      <c r="I43" s="101">
        <v>272</v>
      </c>
      <c r="J43" s="101">
        <v>1.35</v>
      </c>
      <c r="K43" s="101">
        <v>896</v>
      </c>
      <c r="L43" s="101">
        <v>311</v>
      </c>
      <c r="M43" s="101">
        <v>1.39</v>
      </c>
      <c r="N43" s="101">
        <v>1703</v>
      </c>
      <c r="O43" s="101">
        <v>583</v>
      </c>
      <c r="P43" s="101">
        <v>2.74</v>
      </c>
      <c r="Q43" s="101">
        <v>14</v>
      </c>
      <c r="R43" s="101">
        <v>160</v>
      </c>
      <c r="S43" s="105"/>
    </row>
    <row r="44" spans="1:19" ht="16" x14ac:dyDescent="0.2">
      <c r="A44" s="99">
        <v>45553</v>
      </c>
      <c r="B44" s="100" t="s">
        <v>19</v>
      </c>
      <c r="C44" s="102" t="s">
        <v>57</v>
      </c>
      <c r="D44" s="101">
        <v>5</v>
      </c>
      <c r="E44" s="101" t="s">
        <v>21</v>
      </c>
      <c r="F44" s="101">
        <v>40</v>
      </c>
      <c r="G44" s="101">
        <v>175</v>
      </c>
      <c r="H44" s="101">
        <v>789</v>
      </c>
      <c r="I44" s="101">
        <v>462</v>
      </c>
      <c r="J44" s="101">
        <v>2.34</v>
      </c>
      <c r="K44" s="101">
        <v>799</v>
      </c>
      <c r="L44" s="101">
        <v>434</v>
      </c>
      <c r="M44" s="101">
        <v>2.17</v>
      </c>
      <c r="N44" s="101">
        <v>1588</v>
      </c>
      <c r="O44" s="101">
        <v>896</v>
      </c>
      <c r="P44" s="101">
        <v>4.51</v>
      </c>
      <c r="Q44" s="101">
        <v>10</v>
      </c>
      <c r="R44" s="101">
        <v>140</v>
      </c>
      <c r="S44" s="105"/>
    </row>
    <row r="45" spans="1:19" ht="16" x14ac:dyDescent="0.2">
      <c r="A45" s="99">
        <v>45637</v>
      </c>
      <c r="B45" s="100" t="s">
        <v>24</v>
      </c>
      <c r="C45" s="102" t="s">
        <v>57</v>
      </c>
      <c r="D45" s="101">
        <v>5</v>
      </c>
      <c r="E45" s="101" t="s">
        <v>21</v>
      </c>
      <c r="F45" s="101">
        <v>40</v>
      </c>
      <c r="G45" s="101">
        <v>190</v>
      </c>
      <c r="H45" s="101">
        <v>1075</v>
      </c>
      <c r="I45" s="101">
        <v>480</v>
      </c>
      <c r="J45" s="101">
        <v>1.79</v>
      </c>
      <c r="K45" s="101">
        <v>1039</v>
      </c>
      <c r="L45" s="101">
        <v>456</v>
      </c>
      <c r="M45" s="101">
        <v>1.75</v>
      </c>
      <c r="N45" s="101">
        <v>2114</v>
      </c>
      <c r="O45" s="101">
        <v>936</v>
      </c>
      <c r="P45" s="101">
        <v>3.54</v>
      </c>
      <c r="Q45" s="101">
        <v>15</v>
      </c>
      <c r="R45" s="101">
        <v>140</v>
      </c>
      <c r="S45" s="105"/>
    </row>
    <row r="46" spans="1:19" ht="16" x14ac:dyDescent="0.2">
      <c r="A46" s="99">
        <v>45638</v>
      </c>
      <c r="B46" s="100" t="s">
        <v>24</v>
      </c>
      <c r="C46" s="102" t="s">
        <v>58</v>
      </c>
      <c r="D46" s="101">
        <v>4</v>
      </c>
      <c r="E46" s="101" t="s">
        <v>35</v>
      </c>
      <c r="F46" s="101">
        <v>29</v>
      </c>
      <c r="G46" s="101">
        <v>110</v>
      </c>
      <c r="H46" s="101">
        <v>526</v>
      </c>
      <c r="I46" s="101">
        <v>223</v>
      </c>
      <c r="J46" s="101">
        <v>1.7</v>
      </c>
      <c r="K46" s="101">
        <v>584</v>
      </c>
      <c r="L46" s="101">
        <v>245</v>
      </c>
      <c r="M46" s="101">
        <v>1.68</v>
      </c>
      <c r="N46" s="101">
        <v>1110</v>
      </c>
      <c r="O46" s="101">
        <v>468</v>
      </c>
      <c r="P46" s="101">
        <v>3.38</v>
      </c>
      <c r="Q46" s="101">
        <v>16</v>
      </c>
      <c r="R46" s="101">
        <v>76</v>
      </c>
      <c r="S46" s="105"/>
    </row>
    <row r="47" spans="1:19" ht="16" x14ac:dyDescent="0.2">
      <c r="A47" s="99">
        <v>45544</v>
      </c>
      <c r="B47" s="100" t="s">
        <v>19</v>
      </c>
      <c r="C47" s="102" t="s">
        <v>59</v>
      </c>
      <c r="D47" s="101">
        <v>7</v>
      </c>
      <c r="E47" s="101" t="s">
        <v>21</v>
      </c>
      <c r="F47" s="101">
        <v>57</v>
      </c>
      <c r="G47" s="101">
        <v>330</v>
      </c>
      <c r="H47" s="101">
        <v>1387</v>
      </c>
      <c r="I47" s="101">
        <v>873</v>
      </c>
      <c r="J47" s="101">
        <v>2.52</v>
      </c>
      <c r="K47" s="101">
        <v>1410</v>
      </c>
      <c r="L47" s="101">
        <v>967</v>
      </c>
      <c r="M47" s="101">
        <v>2.74</v>
      </c>
      <c r="N47" s="101">
        <v>2797</v>
      </c>
      <c r="O47" s="101">
        <v>1840</v>
      </c>
      <c r="P47" s="101">
        <v>5.26</v>
      </c>
      <c r="Q47" s="101">
        <v>10</v>
      </c>
      <c r="R47" s="101">
        <v>264</v>
      </c>
      <c r="S47" s="105"/>
    </row>
    <row r="48" spans="1:19" ht="16" x14ac:dyDescent="0.2">
      <c r="A48" s="99">
        <v>45547</v>
      </c>
      <c r="B48" s="100" t="s">
        <v>19</v>
      </c>
      <c r="C48" s="107" t="s">
        <v>60</v>
      </c>
      <c r="D48" s="101">
        <v>7</v>
      </c>
      <c r="E48" s="101" t="s">
        <v>21</v>
      </c>
      <c r="F48" s="101">
        <v>50</v>
      </c>
      <c r="G48" s="101">
        <v>210</v>
      </c>
      <c r="H48" s="101">
        <v>895</v>
      </c>
      <c r="I48" s="101">
        <v>345</v>
      </c>
      <c r="J48" s="101">
        <v>1.54</v>
      </c>
      <c r="K48" s="101">
        <v>977</v>
      </c>
      <c r="L48" s="101">
        <v>360</v>
      </c>
      <c r="M48" s="101">
        <v>1.47</v>
      </c>
      <c r="N48" s="101">
        <v>1872</v>
      </c>
      <c r="O48" s="101">
        <v>705</v>
      </c>
      <c r="P48" s="101">
        <v>3.01</v>
      </c>
      <c r="Q48" s="101">
        <v>13</v>
      </c>
      <c r="R48" s="101">
        <v>168</v>
      </c>
      <c r="S48" s="105"/>
    </row>
    <row r="49" spans="1:19" ht="16" x14ac:dyDescent="0.2">
      <c r="A49" s="99">
        <v>45547</v>
      </c>
      <c r="B49" s="100" t="s">
        <v>19</v>
      </c>
      <c r="C49" s="102" t="s">
        <v>61</v>
      </c>
      <c r="D49" s="101">
        <v>9</v>
      </c>
      <c r="E49" s="101" t="s">
        <v>31</v>
      </c>
      <c r="F49" s="101">
        <v>50</v>
      </c>
      <c r="G49" s="101">
        <v>280</v>
      </c>
      <c r="H49" s="101">
        <v>1250</v>
      </c>
      <c r="I49" s="101">
        <v>582</v>
      </c>
      <c r="J49" s="101">
        <v>1.86</v>
      </c>
      <c r="K49" s="101">
        <v>1293</v>
      </c>
      <c r="L49" s="101">
        <v>642</v>
      </c>
      <c r="M49" s="101">
        <v>1.98</v>
      </c>
      <c r="N49" s="101">
        <v>2543</v>
      </c>
      <c r="O49" s="101">
        <v>1224</v>
      </c>
      <c r="P49" s="101">
        <v>3.84</v>
      </c>
      <c r="Q49" s="101">
        <v>19</v>
      </c>
      <c r="R49" s="101">
        <v>224</v>
      </c>
      <c r="S49" s="105"/>
    </row>
    <row r="50" spans="1:19" ht="16" x14ac:dyDescent="0.2">
      <c r="A50" s="99">
        <v>45637</v>
      </c>
      <c r="B50" s="100" t="s">
        <v>24</v>
      </c>
      <c r="C50" s="102" t="s">
        <v>61</v>
      </c>
      <c r="D50" s="101">
        <v>9</v>
      </c>
      <c r="E50" s="101" t="s">
        <v>31</v>
      </c>
      <c r="F50" s="101">
        <v>50</v>
      </c>
      <c r="G50" s="101">
        <v>310</v>
      </c>
      <c r="H50" s="101">
        <v>1362</v>
      </c>
      <c r="I50" s="101">
        <v>680</v>
      </c>
      <c r="J50" s="101">
        <v>2</v>
      </c>
      <c r="K50" s="101">
        <v>1321</v>
      </c>
      <c r="L50" s="101">
        <v>715</v>
      </c>
      <c r="M50" s="101">
        <v>2.16</v>
      </c>
      <c r="N50" s="101">
        <v>2683</v>
      </c>
      <c r="O50" s="101">
        <v>1395</v>
      </c>
      <c r="P50" s="101">
        <v>4.16</v>
      </c>
      <c r="Q50" s="101">
        <v>29</v>
      </c>
      <c r="R50" s="101">
        <v>224</v>
      </c>
      <c r="S50" s="105"/>
    </row>
    <row r="51" spans="1:19" ht="16" x14ac:dyDescent="0.2">
      <c r="A51" s="99">
        <v>45540</v>
      </c>
      <c r="B51" s="100" t="s">
        <v>19</v>
      </c>
      <c r="C51" s="102" t="s">
        <v>62</v>
      </c>
      <c r="D51" s="101">
        <v>6</v>
      </c>
      <c r="E51" s="101" t="s">
        <v>63</v>
      </c>
      <c r="F51" s="101">
        <v>42</v>
      </c>
      <c r="G51" s="101">
        <v>135</v>
      </c>
      <c r="H51" s="101">
        <v>659</v>
      </c>
      <c r="I51" s="101">
        <v>308</v>
      </c>
      <c r="J51" s="101">
        <v>1.87</v>
      </c>
      <c r="K51" s="101">
        <v>661</v>
      </c>
      <c r="L51" s="101">
        <v>328</v>
      </c>
      <c r="M51" s="101">
        <v>1.98</v>
      </c>
      <c r="N51" s="101">
        <v>1320</v>
      </c>
      <c r="O51" s="101">
        <v>636</v>
      </c>
      <c r="P51" s="101">
        <v>3.85</v>
      </c>
      <c r="Q51" s="101">
        <v>11</v>
      </c>
      <c r="R51" s="101">
        <v>108</v>
      </c>
      <c r="S51" s="105"/>
    </row>
    <row r="52" spans="1:19" ht="16" x14ac:dyDescent="0.2">
      <c r="A52" s="99">
        <v>45644</v>
      </c>
      <c r="B52" s="100" t="s">
        <v>24</v>
      </c>
      <c r="C52" s="102" t="s">
        <v>62</v>
      </c>
      <c r="D52" s="101">
        <v>6</v>
      </c>
      <c r="E52" s="101" t="s">
        <v>35</v>
      </c>
      <c r="F52" s="101">
        <v>42</v>
      </c>
      <c r="G52" s="101">
        <v>145</v>
      </c>
      <c r="H52" s="101">
        <v>683</v>
      </c>
      <c r="I52" s="101">
        <v>343</v>
      </c>
      <c r="J52" s="108">
        <v>2.0099999999999998</v>
      </c>
      <c r="K52" s="101">
        <v>693</v>
      </c>
      <c r="L52" s="101">
        <v>352</v>
      </c>
      <c r="M52" s="101">
        <v>2.0299999999999998</v>
      </c>
      <c r="N52" s="101">
        <v>1376</v>
      </c>
      <c r="O52" s="101">
        <v>695</v>
      </c>
      <c r="P52" s="101">
        <v>4.04</v>
      </c>
      <c r="Q52" s="101">
        <v>18</v>
      </c>
      <c r="R52" s="101">
        <v>108</v>
      </c>
      <c r="S52" s="105"/>
    </row>
    <row r="53" spans="1:19" ht="16" x14ac:dyDescent="0.2">
      <c r="A53" s="99">
        <v>45544</v>
      </c>
      <c r="B53" s="100" t="s">
        <v>19</v>
      </c>
      <c r="C53" s="102" t="s">
        <v>64</v>
      </c>
      <c r="D53" s="101">
        <v>5</v>
      </c>
      <c r="E53" s="101" t="s">
        <v>21</v>
      </c>
      <c r="F53" s="101">
        <v>40</v>
      </c>
      <c r="G53" s="101">
        <v>135</v>
      </c>
      <c r="H53" s="101">
        <v>824</v>
      </c>
      <c r="I53" s="101">
        <v>171</v>
      </c>
      <c r="J53" s="101">
        <v>0.83</v>
      </c>
      <c r="K53" s="101">
        <v>1146</v>
      </c>
      <c r="L53" s="101">
        <v>199</v>
      </c>
      <c r="M53" s="101">
        <v>0.69</v>
      </c>
      <c r="N53" s="101">
        <v>1970</v>
      </c>
      <c r="O53" s="101">
        <v>370</v>
      </c>
      <c r="P53" s="101">
        <v>1.52</v>
      </c>
      <c r="Q53" s="101">
        <v>13</v>
      </c>
      <c r="R53" s="101">
        <v>108</v>
      </c>
      <c r="S53" s="105"/>
    </row>
    <row r="54" spans="1:19" ht="16" x14ac:dyDescent="0.2">
      <c r="A54" s="99">
        <v>45636</v>
      </c>
      <c r="B54" s="100" t="s">
        <v>24</v>
      </c>
      <c r="C54" s="102" t="s">
        <v>64</v>
      </c>
      <c r="D54" s="101">
        <v>5</v>
      </c>
      <c r="E54" s="101" t="s">
        <v>21</v>
      </c>
      <c r="F54" s="101">
        <v>40</v>
      </c>
      <c r="G54" s="101">
        <v>155</v>
      </c>
      <c r="H54" s="101">
        <v>882</v>
      </c>
      <c r="I54" s="101">
        <v>273</v>
      </c>
      <c r="J54" s="101">
        <v>1.24</v>
      </c>
      <c r="K54" s="101">
        <v>1123</v>
      </c>
      <c r="L54" s="101">
        <v>293</v>
      </c>
      <c r="M54" s="101">
        <v>1.04</v>
      </c>
      <c r="N54" s="101">
        <v>2005</v>
      </c>
      <c r="O54" s="101">
        <v>566</v>
      </c>
      <c r="P54" s="101">
        <v>2.2799999999999998</v>
      </c>
      <c r="Q54" s="101">
        <v>13</v>
      </c>
      <c r="R54" s="101">
        <v>122</v>
      </c>
      <c r="S54" s="105" t="s">
        <v>65</v>
      </c>
    </row>
    <row r="55" spans="1:19" ht="16" x14ac:dyDescent="0.2">
      <c r="A55" s="99">
        <v>45545</v>
      </c>
      <c r="B55" s="100" t="s">
        <v>19</v>
      </c>
      <c r="C55" s="102" t="s">
        <v>66</v>
      </c>
      <c r="D55" s="101">
        <v>8</v>
      </c>
      <c r="E55" s="101" t="s">
        <v>21</v>
      </c>
      <c r="F55" s="101">
        <v>54</v>
      </c>
      <c r="G55" s="101">
        <v>240</v>
      </c>
      <c r="H55" s="101">
        <v>983</v>
      </c>
      <c r="I55" s="101">
        <v>414</v>
      </c>
      <c r="J55" s="101">
        <v>1.68</v>
      </c>
      <c r="K55" s="101">
        <v>1065</v>
      </c>
      <c r="L55" s="101">
        <v>406</v>
      </c>
      <c r="M55" s="101">
        <v>1.75</v>
      </c>
      <c r="N55" s="101">
        <v>2048</v>
      </c>
      <c r="O55" s="101">
        <v>820</v>
      </c>
      <c r="P55" s="101">
        <v>3.43</v>
      </c>
      <c r="Q55" s="101">
        <v>3</v>
      </c>
      <c r="R55" s="101">
        <v>192</v>
      </c>
      <c r="S55" s="105"/>
    </row>
    <row r="56" spans="1:19" ht="16" x14ac:dyDescent="0.2">
      <c r="A56" s="99">
        <v>45546</v>
      </c>
      <c r="B56" s="100" t="s">
        <v>19</v>
      </c>
      <c r="C56" s="102" t="s">
        <v>67</v>
      </c>
      <c r="D56" s="101">
        <v>6</v>
      </c>
      <c r="E56" s="101" t="s">
        <v>21</v>
      </c>
      <c r="F56" s="101">
        <v>47</v>
      </c>
      <c r="G56" s="101">
        <v>152</v>
      </c>
      <c r="H56" s="101">
        <v>911</v>
      </c>
      <c r="I56" s="101">
        <v>197</v>
      </c>
      <c r="J56" s="101">
        <v>0.86</v>
      </c>
      <c r="K56" s="101">
        <v>958</v>
      </c>
      <c r="L56" s="101">
        <v>194</v>
      </c>
      <c r="M56" s="101">
        <v>0.81</v>
      </c>
      <c r="N56" s="101">
        <v>1869</v>
      </c>
      <c r="O56" s="101">
        <v>391</v>
      </c>
      <c r="P56" s="101">
        <v>1.67</v>
      </c>
      <c r="Q56" s="101">
        <v>13</v>
      </c>
      <c r="R56" s="101">
        <v>122</v>
      </c>
      <c r="S56" s="105"/>
    </row>
    <row r="57" spans="1:19" ht="16" x14ac:dyDescent="0.2">
      <c r="A57" s="99">
        <v>45631</v>
      </c>
      <c r="B57" s="100" t="s">
        <v>24</v>
      </c>
      <c r="C57" s="102" t="s">
        <v>67</v>
      </c>
      <c r="D57" s="101">
        <v>6</v>
      </c>
      <c r="E57" s="101" t="s">
        <v>21</v>
      </c>
      <c r="F57" s="101">
        <v>47</v>
      </c>
      <c r="G57" s="101">
        <v>167</v>
      </c>
      <c r="H57" s="101">
        <v>804</v>
      </c>
      <c r="I57" s="101">
        <v>281</v>
      </c>
      <c r="J57" s="101">
        <v>1.4</v>
      </c>
      <c r="K57" s="101">
        <v>753</v>
      </c>
      <c r="L57" s="101">
        <v>270</v>
      </c>
      <c r="M57" s="101">
        <v>1.43</v>
      </c>
      <c r="N57" s="101">
        <v>1557</v>
      </c>
      <c r="O57" s="101">
        <v>551</v>
      </c>
      <c r="P57" s="101">
        <v>2.83</v>
      </c>
      <c r="Q57" s="101">
        <v>23</v>
      </c>
      <c r="R57" s="101">
        <v>122</v>
      </c>
      <c r="S57" s="105"/>
    </row>
    <row r="58" spans="1:19" ht="16" x14ac:dyDescent="0.2">
      <c r="A58" s="99">
        <v>45546</v>
      </c>
      <c r="B58" s="100" t="s">
        <v>19</v>
      </c>
      <c r="C58" s="102" t="s">
        <v>68</v>
      </c>
      <c r="D58" s="101">
        <v>5</v>
      </c>
      <c r="E58" s="101" t="s">
        <v>21</v>
      </c>
      <c r="F58" s="101">
        <v>35</v>
      </c>
      <c r="G58" s="101">
        <v>155</v>
      </c>
      <c r="H58" s="101">
        <v>659</v>
      </c>
      <c r="I58" s="101">
        <v>269</v>
      </c>
      <c r="J58" s="101">
        <v>1.63</v>
      </c>
      <c r="K58" s="101">
        <v>621</v>
      </c>
      <c r="L58" s="101">
        <v>284</v>
      </c>
      <c r="M58" s="101">
        <v>1.83</v>
      </c>
      <c r="N58" s="101">
        <v>1280</v>
      </c>
      <c r="O58" s="101">
        <v>553</v>
      </c>
      <c r="P58" s="101">
        <v>3.46</v>
      </c>
      <c r="Q58" s="101">
        <v>22</v>
      </c>
      <c r="R58" s="101">
        <v>124</v>
      </c>
      <c r="S58" s="105"/>
    </row>
    <row r="59" spans="1:19" ht="16" x14ac:dyDescent="0.2">
      <c r="A59" s="99">
        <v>45637</v>
      </c>
      <c r="B59" s="100" t="s">
        <v>24</v>
      </c>
      <c r="C59" s="102" t="s">
        <v>68</v>
      </c>
      <c r="D59" s="101">
        <v>5</v>
      </c>
      <c r="E59" s="101" t="s">
        <v>21</v>
      </c>
      <c r="F59" s="101">
        <v>35</v>
      </c>
      <c r="G59" s="101">
        <v>170</v>
      </c>
      <c r="H59" s="101">
        <v>692</v>
      </c>
      <c r="I59" s="101">
        <v>281</v>
      </c>
      <c r="J59" s="101">
        <v>1.62</v>
      </c>
      <c r="K59" s="101">
        <v>690</v>
      </c>
      <c r="L59" s="101">
        <v>303</v>
      </c>
      <c r="M59" s="101">
        <v>1.76</v>
      </c>
      <c r="N59" s="101">
        <v>1382</v>
      </c>
      <c r="O59" s="101">
        <v>584</v>
      </c>
      <c r="P59" s="101">
        <v>3.38</v>
      </c>
      <c r="Q59" s="101">
        <v>38</v>
      </c>
      <c r="R59" s="101">
        <v>124</v>
      </c>
      <c r="S59" s="105"/>
    </row>
    <row r="60" spans="1:19" ht="16" x14ac:dyDescent="0.2">
      <c r="A60" s="99">
        <v>45546</v>
      </c>
      <c r="B60" s="100" t="s">
        <v>19</v>
      </c>
      <c r="C60" s="102" t="s">
        <v>69</v>
      </c>
      <c r="D60" s="101">
        <v>5</v>
      </c>
      <c r="E60" s="101" t="s">
        <v>21</v>
      </c>
      <c r="F60" s="101">
        <v>40</v>
      </c>
      <c r="G60" s="101">
        <v>150</v>
      </c>
      <c r="H60" s="101">
        <v>645</v>
      </c>
      <c r="I60" s="101">
        <v>321</v>
      </c>
      <c r="J60" s="101">
        <v>1.99</v>
      </c>
      <c r="K60" s="101">
        <v>702</v>
      </c>
      <c r="L60" s="101">
        <v>347</v>
      </c>
      <c r="M60" s="101">
        <v>1.98</v>
      </c>
      <c r="N60" s="101">
        <v>1347</v>
      </c>
      <c r="O60" s="101">
        <v>668</v>
      </c>
      <c r="P60" s="101">
        <v>3.97</v>
      </c>
      <c r="Q60" s="101">
        <v>12</v>
      </c>
      <c r="R60" s="101">
        <v>120</v>
      </c>
      <c r="S60" s="105"/>
    </row>
    <row r="61" spans="1:19" ht="16" x14ac:dyDescent="0.2">
      <c r="A61" s="99">
        <v>45546</v>
      </c>
      <c r="B61" s="100" t="s">
        <v>19</v>
      </c>
      <c r="C61" s="102" t="s">
        <v>70</v>
      </c>
      <c r="D61" s="101">
        <v>7</v>
      </c>
      <c r="E61" s="101" t="s">
        <v>31</v>
      </c>
      <c r="F61" s="101">
        <v>33</v>
      </c>
      <c r="G61" s="101">
        <v>135</v>
      </c>
      <c r="H61" s="101">
        <v>573</v>
      </c>
      <c r="I61" s="101">
        <v>181</v>
      </c>
      <c r="J61" s="101">
        <v>1.26</v>
      </c>
      <c r="K61" s="101">
        <v>575</v>
      </c>
      <c r="L61" s="101">
        <v>185</v>
      </c>
      <c r="M61" s="101">
        <v>1.29</v>
      </c>
      <c r="N61" s="101">
        <v>1148</v>
      </c>
      <c r="O61" s="101">
        <v>366</v>
      </c>
      <c r="P61" s="101">
        <v>2.5499999999999998</v>
      </c>
      <c r="Q61" s="101">
        <v>35</v>
      </c>
      <c r="R61" s="101">
        <v>108</v>
      </c>
      <c r="S61" s="105"/>
    </row>
    <row r="62" spans="1:19" ht="16" x14ac:dyDescent="0.2">
      <c r="A62" s="99">
        <v>45637</v>
      </c>
      <c r="B62" s="100" t="s">
        <v>24</v>
      </c>
      <c r="C62" s="102" t="s">
        <v>70</v>
      </c>
      <c r="D62" s="101">
        <v>7</v>
      </c>
      <c r="E62" s="101" t="s">
        <v>31</v>
      </c>
      <c r="F62" s="101">
        <v>40</v>
      </c>
      <c r="G62" s="101">
        <v>140</v>
      </c>
      <c r="H62" s="101">
        <v>686</v>
      </c>
      <c r="I62" s="101">
        <v>183</v>
      </c>
      <c r="J62" s="101">
        <v>1.07</v>
      </c>
      <c r="K62" s="101">
        <v>674</v>
      </c>
      <c r="L62" s="101">
        <v>188</v>
      </c>
      <c r="M62" s="101">
        <v>1.1100000000000001</v>
      </c>
      <c r="N62" s="101">
        <v>1360</v>
      </c>
      <c r="O62" s="101">
        <v>371</v>
      </c>
      <c r="P62" s="101">
        <v>2.1800000000000002</v>
      </c>
      <c r="Q62" s="101">
        <v>45</v>
      </c>
      <c r="R62" s="101">
        <v>108</v>
      </c>
      <c r="S62" s="105" t="s">
        <v>71</v>
      </c>
    </row>
    <row r="63" spans="1:19" ht="16" x14ac:dyDescent="0.2">
      <c r="A63" s="109">
        <v>45912</v>
      </c>
      <c r="B63" s="100" t="s">
        <v>19</v>
      </c>
      <c r="C63" s="102" t="s">
        <v>72</v>
      </c>
      <c r="D63" s="101">
        <v>5</v>
      </c>
      <c r="E63" s="101" t="s">
        <v>21</v>
      </c>
      <c r="F63" s="101">
        <v>35</v>
      </c>
      <c r="G63" s="101">
        <v>150</v>
      </c>
      <c r="H63" s="101">
        <v>772</v>
      </c>
      <c r="I63" s="101">
        <v>278</v>
      </c>
      <c r="J63" s="101">
        <v>1.44</v>
      </c>
      <c r="K63" s="101">
        <v>799</v>
      </c>
      <c r="L63" s="101">
        <v>293</v>
      </c>
      <c r="M63" s="101">
        <v>1.47</v>
      </c>
      <c r="N63" s="101">
        <v>1571</v>
      </c>
      <c r="O63" s="101">
        <v>571</v>
      </c>
      <c r="P63" s="101">
        <v>2.91</v>
      </c>
      <c r="Q63" s="101">
        <v>21</v>
      </c>
      <c r="R63" s="101">
        <v>120</v>
      </c>
      <c r="S63" s="105"/>
    </row>
    <row r="64" spans="1:19" ht="16" x14ac:dyDescent="0.2">
      <c r="A64" s="99">
        <v>45638</v>
      </c>
      <c r="B64" s="100" t="s">
        <v>24</v>
      </c>
      <c r="C64" s="102" t="s">
        <v>72</v>
      </c>
      <c r="D64" s="101">
        <v>5</v>
      </c>
      <c r="E64" s="101" t="s">
        <v>21</v>
      </c>
      <c r="F64" s="101">
        <v>35</v>
      </c>
      <c r="G64" s="101">
        <v>160</v>
      </c>
      <c r="H64" s="101">
        <v>795</v>
      </c>
      <c r="I64" s="101">
        <v>312</v>
      </c>
      <c r="J64" s="101">
        <v>1.57</v>
      </c>
      <c r="K64" s="101">
        <v>806</v>
      </c>
      <c r="L64" s="101">
        <v>320</v>
      </c>
      <c r="M64" s="101">
        <v>1.59</v>
      </c>
      <c r="N64" s="101">
        <v>1601</v>
      </c>
      <c r="O64" s="101">
        <v>632</v>
      </c>
      <c r="P64" s="101">
        <v>3.16</v>
      </c>
      <c r="Q64" s="101">
        <v>31</v>
      </c>
      <c r="R64" s="101">
        <v>120</v>
      </c>
      <c r="S64" s="105"/>
    </row>
    <row r="65" spans="1:19" ht="16" x14ac:dyDescent="0.2">
      <c r="A65" s="99">
        <v>45547</v>
      </c>
      <c r="B65" s="100" t="s">
        <v>19</v>
      </c>
      <c r="C65" s="102" t="s">
        <v>73</v>
      </c>
      <c r="D65" s="101">
        <v>4</v>
      </c>
      <c r="E65" s="101" t="s">
        <v>21</v>
      </c>
      <c r="F65" s="101">
        <v>29</v>
      </c>
      <c r="G65" s="101">
        <v>110</v>
      </c>
      <c r="H65" s="101">
        <v>582</v>
      </c>
      <c r="I65" s="101">
        <v>215</v>
      </c>
      <c r="J65" s="101">
        <v>1.48</v>
      </c>
      <c r="K65" s="101">
        <v>590</v>
      </c>
      <c r="L65" s="101">
        <v>224</v>
      </c>
      <c r="M65" s="101">
        <v>1.52</v>
      </c>
      <c r="N65" s="101">
        <v>1172</v>
      </c>
      <c r="O65" s="101">
        <v>439</v>
      </c>
      <c r="P65" s="101">
        <v>3</v>
      </c>
      <c r="Q65" s="101">
        <v>31</v>
      </c>
      <c r="R65" s="101">
        <v>88</v>
      </c>
      <c r="S65" s="105"/>
    </row>
    <row r="66" spans="1:19" ht="16" x14ac:dyDescent="0.2">
      <c r="A66" s="99">
        <v>45636</v>
      </c>
      <c r="B66" s="100" t="s">
        <v>24</v>
      </c>
      <c r="C66" s="102" t="s">
        <v>73</v>
      </c>
      <c r="D66" s="101">
        <v>4</v>
      </c>
      <c r="E66" s="101" t="s">
        <v>21</v>
      </c>
      <c r="F66" s="101">
        <v>30</v>
      </c>
      <c r="G66" s="101">
        <v>120</v>
      </c>
      <c r="H66" s="101">
        <v>529</v>
      </c>
      <c r="I66" s="101">
        <v>241</v>
      </c>
      <c r="J66" s="101">
        <v>1.82</v>
      </c>
      <c r="K66" s="101">
        <v>524</v>
      </c>
      <c r="L66" s="101">
        <v>242</v>
      </c>
      <c r="M66" s="101">
        <v>1.85</v>
      </c>
      <c r="N66" s="101">
        <v>1053</v>
      </c>
      <c r="O66" s="101">
        <v>483</v>
      </c>
      <c r="P66" s="101">
        <v>3.67</v>
      </c>
      <c r="Q66" s="101">
        <v>33</v>
      </c>
      <c r="R66" s="101">
        <v>88</v>
      </c>
      <c r="S66" s="105"/>
    </row>
    <row r="67" spans="1:19" ht="16" x14ac:dyDescent="0.2">
      <c r="A67" s="99">
        <v>45548</v>
      </c>
      <c r="B67" s="100" t="s">
        <v>19</v>
      </c>
      <c r="C67" s="102" t="s">
        <v>74</v>
      </c>
      <c r="D67" s="101">
        <v>5</v>
      </c>
      <c r="E67" s="101" t="s">
        <v>35</v>
      </c>
      <c r="F67" s="101">
        <v>30</v>
      </c>
      <c r="G67" s="101">
        <v>125</v>
      </c>
      <c r="H67" s="101">
        <v>595</v>
      </c>
      <c r="I67" s="101">
        <v>284</v>
      </c>
      <c r="J67" s="101">
        <v>1.91</v>
      </c>
      <c r="K67" s="101">
        <v>535</v>
      </c>
      <c r="L67" s="101">
        <v>274</v>
      </c>
      <c r="M67" s="101">
        <v>2.0499999999999998</v>
      </c>
      <c r="N67" s="101">
        <v>1130</v>
      </c>
      <c r="O67" s="101">
        <v>558</v>
      </c>
      <c r="P67" s="101">
        <v>3.96</v>
      </c>
      <c r="Q67" s="101">
        <v>10</v>
      </c>
      <c r="R67" s="101">
        <v>100</v>
      </c>
      <c r="S67" s="105"/>
    </row>
    <row r="68" spans="1:19" ht="16" x14ac:dyDescent="0.2">
      <c r="A68" s="99">
        <v>45554</v>
      </c>
      <c r="B68" s="100" t="s">
        <v>19</v>
      </c>
      <c r="C68" s="102" t="s">
        <v>75</v>
      </c>
      <c r="D68" s="101">
        <v>4</v>
      </c>
      <c r="E68" s="101" t="s">
        <v>35</v>
      </c>
      <c r="F68" s="101">
        <v>29</v>
      </c>
      <c r="G68" s="101">
        <v>95</v>
      </c>
      <c r="H68" s="101">
        <v>448</v>
      </c>
      <c r="I68" s="101">
        <v>204</v>
      </c>
      <c r="J68" s="101">
        <v>1.82</v>
      </c>
      <c r="K68" s="101">
        <v>517</v>
      </c>
      <c r="L68" s="101">
        <v>243</v>
      </c>
      <c r="M68" s="101">
        <v>1.88</v>
      </c>
      <c r="N68" s="101">
        <v>965</v>
      </c>
      <c r="O68" s="101">
        <v>447</v>
      </c>
      <c r="P68" s="101">
        <v>3.7</v>
      </c>
      <c r="Q68" s="101">
        <v>10</v>
      </c>
      <c r="R68" s="101">
        <v>76</v>
      </c>
      <c r="S68" s="105"/>
    </row>
    <row r="69" spans="1:19" ht="16" x14ac:dyDescent="0.2">
      <c r="A69" s="99">
        <v>45548</v>
      </c>
      <c r="B69" s="100" t="s">
        <v>19</v>
      </c>
      <c r="C69" s="102" t="s">
        <v>76</v>
      </c>
      <c r="D69" s="101">
        <v>5</v>
      </c>
      <c r="E69" s="101" t="s">
        <v>21</v>
      </c>
      <c r="F69" s="101">
        <v>37</v>
      </c>
      <c r="G69" s="101">
        <v>167</v>
      </c>
      <c r="H69" s="101">
        <v>752</v>
      </c>
      <c r="I69" s="101">
        <v>398</v>
      </c>
      <c r="J69" s="101">
        <v>2.12</v>
      </c>
      <c r="K69" s="101">
        <v>779</v>
      </c>
      <c r="L69" s="101">
        <v>420</v>
      </c>
      <c r="M69" s="101">
        <v>2.16</v>
      </c>
      <c r="N69" s="101">
        <v>1531</v>
      </c>
      <c r="O69" s="101">
        <v>818</v>
      </c>
      <c r="P69" s="101">
        <v>4.28</v>
      </c>
      <c r="Q69" s="101">
        <v>12</v>
      </c>
      <c r="R69" s="101">
        <v>134</v>
      </c>
      <c r="S69" s="105"/>
    </row>
    <row r="70" spans="1:19" ht="16" x14ac:dyDescent="0.2">
      <c r="A70" s="99">
        <v>45639</v>
      </c>
      <c r="B70" s="100" t="s">
        <v>24</v>
      </c>
      <c r="C70" s="102" t="s">
        <v>76</v>
      </c>
      <c r="D70" s="101">
        <v>5</v>
      </c>
      <c r="E70" s="101" t="s">
        <v>21</v>
      </c>
      <c r="F70" s="101">
        <v>37</v>
      </c>
      <c r="G70" s="101">
        <v>168</v>
      </c>
      <c r="H70" s="101">
        <v>736</v>
      </c>
      <c r="I70" s="101">
        <v>392</v>
      </c>
      <c r="J70" s="101">
        <v>2.13</v>
      </c>
      <c r="K70" s="101">
        <v>761</v>
      </c>
      <c r="L70" s="101">
        <v>418</v>
      </c>
      <c r="M70" s="101">
        <v>2.2000000000000002</v>
      </c>
      <c r="N70" s="101">
        <v>1497</v>
      </c>
      <c r="O70" s="101">
        <v>810</v>
      </c>
      <c r="P70" s="101">
        <v>4.33</v>
      </c>
      <c r="Q70" s="101">
        <v>14</v>
      </c>
      <c r="R70" s="101">
        <v>134</v>
      </c>
      <c r="S70" s="105"/>
    </row>
    <row r="71" spans="1:19" ht="16" x14ac:dyDescent="0.2">
      <c r="A71" s="99">
        <v>45548</v>
      </c>
      <c r="B71" s="100" t="s">
        <v>19</v>
      </c>
      <c r="C71" s="102" t="s">
        <v>77</v>
      </c>
      <c r="D71" s="101">
        <v>4</v>
      </c>
      <c r="E71" s="101" t="s">
        <v>21</v>
      </c>
      <c r="F71" s="101">
        <v>38</v>
      </c>
      <c r="G71" s="101">
        <v>140</v>
      </c>
      <c r="H71" s="101">
        <v>659</v>
      </c>
      <c r="I71" s="101">
        <v>348</v>
      </c>
      <c r="J71" s="101">
        <v>2.11</v>
      </c>
      <c r="K71" s="101">
        <v>675</v>
      </c>
      <c r="L71" s="101">
        <v>329</v>
      </c>
      <c r="M71" s="101">
        <v>1.95</v>
      </c>
      <c r="N71" s="101">
        <v>1334</v>
      </c>
      <c r="O71" s="101">
        <v>677</v>
      </c>
      <c r="P71" s="101">
        <v>4.0599999999999996</v>
      </c>
      <c r="Q71" s="101">
        <v>10</v>
      </c>
      <c r="R71" s="101">
        <v>112</v>
      </c>
      <c r="S71" s="105"/>
    </row>
    <row r="72" spans="1:19" ht="16" x14ac:dyDescent="0.2">
      <c r="A72" s="99">
        <v>45632</v>
      </c>
      <c r="B72" s="100" t="s">
        <v>24</v>
      </c>
      <c r="C72" s="102" t="s">
        <v>77</v>
      </c>
      <c r="D72" s="101">
        <v>4</v>
      </c>
      <c r="E72" s="101" t="s">
        <v>21</v>
      </c>
      <c r="F72" s="101">
        <v>38</v>
      </c>
      <c r="G72" s="101">
        <v>155</v>
      </c>
      <c r="H72" s="101">
        <v>745</v>
      </c>
      <c r="I72" s="101">
        <v>394</v>
      </c>
      <c r="J72" s="101">
        <v>2.12</v>
      </c>
      <c r="K72" s="101">
        <v>721</v>
      </c>
      <c r="L72" s="101">
        <v>372</v>
      </c>
      <c r="M72" s="101">
        <v>2.0699999999999998</v>
      </c>
      <c r="N72" s="101">
        <v>1466</v>
      </c>
      <c r="O72" s="101">
        <v>766</v>
      </c>
      <c r="P72" s="101">
        <v>4.1900000000000004</v>
      </c>
      <c r="Q72" s="101">
        <v>16</v>
      </c>
      <c r="R72" s="101">
        <v>112</v>
      </c>
      <c r="S72" s="105"/>
    </row>
    <row r="73" spans="1:19" ht="16" x14ac:dyDescent="0.2">
      <c r="A73" s="99">
        <v>45548</v>
      </c>
      <c r="B73" s="100" t="s">
        <v>19</v>
      </c>
      <c r="C73" s="102" t="s">
        <v>78</v>
      </c>
      <c r="D73" s="101">
        <v>4</v>
      </c>
      <c r="E73" s="101" t="s">
        <v>31</v>
      </c>
      <c r="F73" s="101">
        <v>38</v>
      </c>
      <c r="G73" s="101">
        <v>150</v>
      </c>
      <c r="H73" s="101">
        <v>695</v>
      </c>
      <c r="I73" s="101">
        <v>328</v>
      </c>
      <c r="J73" s="101">
        <v>1.89</v>
      </c>
      <c r="K73" s="101">
        <v>679</v>
      </c>
      <c r="L73" s="101">
        <v>330</v>
      </c>
      <c r="M73" s="101">
        <v>1.95</v>
      </c>
      <c r="N73" s="101">
        <v>1374</v>
      </c>
      <c r="O73" s="101">
        <v>658</v>
      </c>
      <c r="P73" s="101">
        <v>3.84</v>
      </c>
      <c r="Q73" s="101">
        <v>12</v>
      </c>
      <c r="R73" s="101">
        <v>120</v>
      </c>
      <c r="S73" s="105"/>
    </row>
    <row r="74" spans="1:19" ht="16" x14ac:dyDescent="0.2">
      <c r="A74" s="99">
        <v>45642</v>
      </c>
      <c r="B74" s="100" t="s">
        <v>24</v>
      </c>
      <c r="C74" s="102" t="s">
        <v>78</v>
      </c>
      <c r="D74" s="101">
        <v>4</v>
      </c>
      <c r="E74" s="101" t="s">
        <v>31</v>
      </c>
      <c r="F74" s="101">
        <v>38</v>
      </c>
      <c r="G74" s="101">
        <v>170</v>
      </c>
      <c r="H74" s="101">
        <v>731</v>
      </c>
      <c r="I74" s="101">
        <v>345</v>
      </c>
      <c r="J74" s="101">
        <v>1.89</v>
      </c>
      <c r="K74" s="101">
        <v>746</v>
      </c>
      <c r="L74" s="101">
        <v>344</v>
      </c>
      <c r="M74" s="101">
        <v>1.84</v>
      </c>
      <c r="N74" s="101">
        <v>1477</v>
      </c>
      <c r="O74" s="101">
        <v>689</v>
      </c>
      <c r="P74" s="101">
        <v>3.73</v>
      </c>
      <c r="Q74" s="101">
        <v>24</v>
      </c>
      <c r="R74" s="101">
        <v>120</v>
      </c>
      <c r="S74" s="105"/>
    </row>
    <row r="75" spans="1:19" ht="16" x14ac:dyDescent="0.2">
      <c r="A75" s="99">
        <v>45551</v>
      </c>
      <c r="B75" s="100" t="s">
        <v>19</v>
      </c>
      <c r="C75" s="102" t="s">
        <v>79</v>
      </c>
      <c r="D75" s="101">
        <v>3</v>
      </c>
      <c r="E75" s="101" t="s">
        <v>35</v>
      </c>
      <c r="F75" s="101">
        <v>28</v>
      </c>
      <c r="G75" s="101">
        <v>110</v>
      </c>
      <c r="H75" s="101">
        <v>517</v>
      </c>
      <c r="I75" s="101">
        <v>229</v>
      </c>
      <c r="J75" s="101">
        <v>1.77</v>
      </c>
      <c r="K75" s="101">
        <v>539</v>
      </c>
      <c r="L75" s="101">
        <v>229</v>
      </c>
      <c r="M75" s="101">
        <v>1.7</v>
      </c>
      <c r="N75" s="101">
        <v>1056</v>
      </c>
      <c r="O75" s="101">
        <v>458</v>
      </c>
      <c r="P75" s="101">
        <v>3.47</v>
      </c>
      <c r="Q75" s="101">
        <v>10</v>
      </c>
      <c r="R75" s="101">
        <v>88</v>
      </c>
      <c r="S75" s="105"/>
    </row>
    <row r="76" spans="1:19" ht="16" x14ac:dyDescent="0.2">
      <c r="A76" s="99">
        <v>45644</v>
      </c>
      <c r="B76" s="100" t="s">
        <v>24</v>
      </c>
      <c r="C76" s="102" t="s">
        <v>79</v>
      </c>
      <c r="D76" s="101">
        <v>3</v>
      </c>
      <c r="E76" s="101" t="s">
        <v>35</v>
      </c>
      <c r="F76" s="101">
        <v>28</v>
      </c>
      <c r="G76" s="101">
        <v>120</v>
      </c>
      <c r="H76" s="101">
        <v>541</v>
      </c>
      <c r="I76" s="101">
        <v>278</v>
      </c>
      <c r="J76" s="101">
        <v>2.0499999999999998</v>
      </c>
      <c r="K76" s="101">
        <v>548</v>
      </c>
      <c r="L76" s="101">
        <v>276</v>
      </c>
      <c r="M76" s="101">
        <v>2.02</v>
      </c>
      <c r="N76" s="101">
        <v>1089</v>
      </c>
      <c r="O76" s="101">
        <v>554</v>
      </c>
      <c r="P76" s="101">
        <v>4.07</v>
      </c>
      <c r="Q76" s="101">
        <v>19</v>
      </c>
      <c r="R76" s="101">
        <v>88</v>
      </c>
      <c r="S76" s="105"/>
    </row>
    <row r="77" spans="1:19" ht="16" x14ac:dyDescent="0.2">
      <c r="A77" s="99">
        <v>45555</v>
      </c>
      <c r="B77" s="100" t="s">
        <v>19</v>
      </c>
      <c r="C77" s="102" t="s">
        <v>80</v>
      </c>
      <c r="D77" s="101">
        <v>5</v>
      </c>
      <c r="E77" s="101" t="s">
        <v>21</v>
      </c>
      <c r="F77" s="101">
        <v>29</v>
      </c>
      <c r="G77" s="101">
        <v>80</v>
      </c>
      <c r="H77" s="101">
        <v>0</v>
      </c>
      <c r="I77" s="101">
        <v>0</v>
      </c>
      <c r="J77" s="101">
        <v>0</v>
      </c>
      <c r="K77" s="101">
        <v>0</v>
      </c>
      <c r="L77" s="101">
        <v>0</v>
      </c>
      <c r="M77" s="101">
        <v>0</v>
      </c>
      <c r="N77" s="101">
        <v>0</v>
      </c>
      <c r="O77" s="101">
        <v>0</v>
      </c>
      <c r="P77" s="101">
        <v>0</v>
      </c>
      <c r="Q77" s="101">
        <v>0</v>
      </c>
      <c r="R77" s="101">
        <v>0</v>
      </c>
      <c r="S77" s="105"/>
    </row>
    <row r="78" spans="1:19" ht="16" x14ac:dyDescent="0.2">
      <c r="A78" s="99">
        <v>45639</v>
      </c>
      <c r="B78" s="100" t="s">
        <v>24</v>
      </c>
      <c r="C78" s="102" t="s">
        <v>80</v>
      </c>
      <c r="D78" s="101">
        <v>5</v>
      </c>
      <c r="E78" s="101" t="s">
        <v>21</v>
      </c>
      <c r="F78" s="101">
        <v>29</v>
      </c>
      <c r="G78" s="101">
        <v>120</v>
      </c>
      <c r="H78" s="101">
        <v>665</v>
      </c>
      <c r="I78" s="101">
        <v>165</v>
      </c>
      <c r="J78" s="101">
        <v>0.99</v>
      </c>
      <c r="K78" s="101">
        <v>795</v>
      </c>
      <c r="L78" s="101">
        <v>241</v>
      </c>
      <c r="M78" s="101">
        <v>1.21</v>
      </c>
      <c r="N78" s="101">
        <v>1460</v>
      </c>
      <c r="O78" s="101">
        <v>406</v>
      </c>
      <c r="P78" s="101">
        <v>2.2000000000000002</v>
      </c>
      <c r="Q78" s="101">
        <v>38</v>
      </c>
      <c r="R78" s="101">
        <v>66</v>
      </c>
      <c r="S78" s="105" t="s">
        <v>562</v>
      </c>
    </row>
    <row r="79" spans="1:19" ht="16" x14ac:dyDescent="0.2">
      <c r="A79" s="110">
        <v>45897</v>
      </c>
      <c r="B79" s="8" t="s">
        <v>100</v>
      </c>
      <c r="C79" s="111" t="s">
        <v>413</v>
      </c>
      <c r="D79" s="111">
        <v>7</v>
      </c>
      <c r="E79" s="111" t="s">
        <v>414</v>
      </c>
      <c r="F79" s="111" t="s">
        <v>415</v>
      </c>
      <c r="G79" s="111">
        <v>195</v>
      </c>
      <c r="H79" s="111">
        <v>933</v>
      </c>
      <c r="I79" s="111">
        <v>470</v>
      </c>
      <c r="J79" s="111">
        <v>2.02</v>
      </c>
      <c r="K79" s="111">
        <v>861</v>
      </c>
      <c r="L79" s="111">
        <v>462</v>
      </c>
      <c r="M79" s="111">
        <v>2.15</v>
      </c>
      <c r="N79" s="111">
        <f t="shared" ref="N79:P98" si="0">H79+K79</f>
        <v>1794</v>
      </c>
      <c r="O79" s="111">
        <f t="shared" si="0"/>
        <v>932</v>
      </c>
      <c r="P79" s="111">
        <f t="shared" si="0"/>
        <v>4.17</v>
      </c>
      <c r="Q79" s="111">
        <v>11</v>
      </c>
      <c r="R79" s="111">
        <v>156</v>
      </c>
      <c r="S79" s="112"/>
    </row>
    <row r="80" spans="1:19" ht="16" x14ac:dyDescent="0.2">
      <c r="A80" s="110">
        <v>45898</v>
      </c>
      <c r="B80" s="8" t="s">
        <v>100</v>
      </c>
      <c r="C80" s="113" t="s">
        <v>416</v>
      </c>
      <c r="D80" s="113">
        <v>6</v>
      </c>
      <c r="E80" s="113" t="s">
        <v>414</v>
      </c>
      <c r="F80" s="113" t="s">
        <v>417</v>
      </c>
      <c r="G80" s="113">
        <v>215</v>
      </c>
      <c r="H80" s="113">
        <v>993</v>
      </c>
      <c r="I80" s="113">
        <v>571</v>
      </c>
      <c r="J80" s="113">
        <v>2.2999999999999998</v>
      </c>
      <c r="K80" s="113">
        <v>1115</v>
      </c>
      <c r="L80" s="113">
        <v>660</v>
      </c>
      <c r="M80" s="113">
        <v>2.37</v>
      </c>
      <c r="N80" s="113">
        <f t="shared" si="0"/>
        <v>2108</v>
      </c>
      <c r="O80" s="113">
        <f t="shared" si="0"/>
        <v>1231</v>
      </c>
      <c r="P80" s="113">
        <f t="shared" si="0"/>
        <v>4.67</v>
      </c>
      <c r="Q80" s="113">
        <v>18</v>
      </c>
      <c r="R80" s="113">
        <v>172</v>
      </c>
      <c r="S80" s="114"/>
    </row>
    <row r="81" spans="1:19" ht="16" x14ac:dyDescent="0.2">
      <c r="A81" s="110">
        <v>45901</v>
      </c>
      <c r="B81" s="8" t="s">
        <v>100</v>
      </c>
      <c r="C81" s="113" t="s">
        <v>418</v>
      </c>
      <c r="D81" s="113">
        <v>8</v>
      </c>
      <c r="E81" s="113" t="s">
        <v>419</v>
      </c>
      <c r="F81" s="113" t="s">
        <v>420</v>
      </c>
      <c r="G81" s="113">
        <v>215</v>
      </c>
      <c r="H81" s="113">
        <v>2781</v>
      </c>
      <c r="I81" s="113">
        <v>522</v>
      </c>
      <c r="J81" s="113">
        <v>0.72</v>
      </c>
      <c r="K81" s="113">
        <v>1138</v>
      </c>
      <c r="L81" s="113">
        <v>249</v>
      </c>
      <c r="M81" s="113">
        <v>0.87</v>
      </c>
      <c r="N81" s="113">
        <f t="shared" si="0"/>
        <v>3919</v>
      </c>
      <c r="O81" s="113">
        <f t="shared" si="0"/>
        <v>771</v>
      </c>
      <c r="P81" s="113">
        <f t="shared" si="0"/>
        <v>1.5899999999999999</v>
      </c>
      <c r="Q81" s="113">
        <v>22</v>
      </c>
      <c r="R81" s="113">
        <v>172</v>
      </c>
      <c r="S81" s="114" t="s">
        <v>421</v>
      </c>
    </row>
    <row r="82" spans="1:19" ht="16" x14ac:dyDescent="0.2">
      <c r="A82" s="110">
        <v>45896</v>
      </c>
      <c r="B82" s="8" t="s">
        <v>100</v>
      </c>
      <c r="C82" s="113" t="s">
        <v>422</v>
      </c>
      <c r="D82" s="113">
        <v>7</v>
      </c>
      <c r="E82" s="113" t="s">
        <v>414</v>
      </c>
      <c r="F82" s="113" t="s">
        <v>417</v>
      </c>
      <c r="G82" s="113">
        <v>270</v>
      </c>
      <c r="H82" s="113">
        <v>1052</v>
      </c>
      <c r="I82" s="113">
        <v>609</v>
      </c>
      <c r="J82" s="113">
        <v>2.33</v>
      </c>
      <c r="K82" s="113">
        <v>1123</v>
      </c>
      <c r="L82" s="113">
        <v>620</v>
      </c>
      <c r="M82" s="113">
        <v>2.21</v>
      </c>
      <c r="N82" s="113">
        <f t="shared" si="0"/>
        <v>2175</v>
      </c>
      <c r="O82" s="113">
        <f t="shared" si="0"/>
        <v>1229</v>
      </c>
      <c r="P82" s="113">
        <f t="shared" si="0"/>
        <v>4.54</v>
      </c>
      <c r="Q82" s="113">
        <v>10</v>
      </c>
      <c r="R82" s="113">
        <v>216</v>
      </c>
      <c r="S82" s="114"/>
    </row>
    <row r="83" spans="1:19" ht="16" x14ac:dyDescent="0.2">
      <c r="A83" s="110">
        <v>45897</v>
      </c>
      <c r="B83" s="8" t="s">
        <v>100</v>
      </c>
      <c r="C83" s="113" t="s">
        <v>423</v>
      </c>
      <c r="D83" s="113">
        <v>7</v>
      </c>
      <c r="E83" s="113" t="s">
        <v>414</v>
      </c>
      <c r="F83" s="113" t="s">
        <v>420</v>
      </c>
      <c r="G83" s="113">
        <v>255</v>
      </c>
      <c r="H83" s="113">
        <v>1001</v>
      </c>
      <c r="I83" s="113">
        <v>502</v>
      </c>
      <c r="J83" s="113">
        <v>2.0099999999999998</v>
      </c>
      <c r="K83" s="113">
        <v>1033</v>
      </c>
      <c r="L83" s="113">
        <v>544</v>
      </c>
      <c r="M83" s="113">
        <v>2.11</v>
      </c>
      <c r="N83" s="113">
        <f t="shared" si="0"/>
        <v>2034</v>
      </c>
      <c r="O83" s="113">
        <f t="shared" si="0"/>
        <v>1046</v>
      </c>
      <c r="P83" s="113">
        <f t="shared" si="0"/>
        <v>4.1199999999999992</v>
      </c>
      <c r="Q83" s="113">
        <v>13</v>
      </c>
      <c r="R83" s="113">
        <v>204</v>
      </c>
      <c r="S83" s="114"/>
    </row>
    <row r="84" spans="1:19" ht="16" x14ac:dyDescent="0.2">
      <c r="A84" s="110">
        <v>45896</v>
      </c>
      <c r="B84" s="8" t="s">
        <v>100</v>
      </c>
      <c r="C84" s="113" t="s">
        <v>424</v>
      </c>
      <c r="D84" s="113">
        <v>6</v>
      </c>
      <c r="E84" s="113" t="s">
        <v>419</v>
      </c>
      <c r="F84" s="113" t="s">
        <v>425</v>
      </c>
      <c r="G84" s="113">
        <v>145</v>
      </c>
      <c r="H84" s="113">
        <v>566</v>
      </c>
      <c r="I84" s="113">
        <v>286</v>
      </c>
      <c r="J84" s="113">
        <v>2.02</v>
      </c>
      <c r="K84" s="113">
        <v>604</v>
      </c>
      <c r="L84" s="113">
        <v>309</v>
      </c>
      <c r="M84" s="113">
        <v>2.0499999999999998</v>
      </c>
      <c r="N84" s="113">
        <f t="shared" si="0"/>
        <v>1170</v>
      </c>
      <c r="O84" s="113">
        <f t="shared" si="0"/>
        <v>595</v>
      </c>
      <c r="P84" s="113">
        <f t="shared" si="0"/>
        <v>4.07</v>
      </c>
      <c r="Q84" s="113">
        <v>17</v>
      </c>
      <c r="R84" s="113">
        <v>116</v>
      </c>
      <c r="S84" s="114"/>
    </row>
    <row r="85" spans="1:19" ht="16" x14ac:dyDescent="0.2">
      <c r="A85" s="110">
        <v>45897</v>
      </c>
      <c r="B85" s="8" t="s">
        <v>100</v>
      </c>
      <c r="C85" s="113" t="s">
        <v>426</v>
      </c>
      <c r="D85" s="113">
        <v>0</v>
      </c>
      <c r="E85" s="113" t="s">
        <v>414</v>
      </c>
      <c r="F85" s="113" t="s">
        <v>427</v>
      </c>
      <c r="G85" s="113">
        <v>290</v>
      </c>
      <c r="H85" s="113">
        <v>1270</v>
      </c>
      <c r="I85" s="113">
        <v>486</v>
      </c>
      <c r="J85" s="113">
        <v>1.53</v>
      </c>
      <c r="K85" s="113">
        <v>1264</v>
      </c>
      <c r="L85" s="113">
        <v>593</v>
      </c>
      <c r="M85" s="113">
        <v>1.88</v>
      </c>
      <c r="N85" s="113">
        <f t="shared" si="0"/>
        <v>2534</v>
      </c>
      <c r="O85" s="113">
        <f t="shared" si="0"/>
        <v>1079</v>
      </c>
      <c r="P85" s="113">
        <f t="shared" si="0"/>
        <v>3.41</v>
      </c>
      <c r="Q85" s="113">
        <v>23</v>
      </c>
      <c r="R85" s="113">
        <v>232</v>
      </c>
      <c r="S85" s="114"/>
    </row>
    <row r="86" spans="1:19" ht="16" x14ac:dyDescent="0.2">
      <c r="A86" s="110">
        <v>45901</v>
      </c>
      <c r="B86" s="8" t="s">
        <v>100</v>
      </c>
      <c r="C86" s="113" t="s">
        <v>428</v>
      </c>
      <c r="D86" s="113">
        <v>8</v>
      </c>
      <c r="E86" s="113" t="s">
        <v>429</v>
      </c>
      <c r="F86" s="113" t="s">
        <v>425</v>
      </c>
      <c r="G86" s="113">
        <v>170</v>
      </c>
      <c r="H86" s="113">
        <v>943</v>
      </c>
      <c r="I86" s="113">
        <v>200</v>
      </c>
      <c r="J86" s="113">
        <v>0.85</v>
      </c>
      <c r="K86" s="113">
        <v>925</v>
      </c>
      <c r="L86" s="113">
        <v>200</v>
      </c>
      <c r="M86" s="113">
        <v>0.86</v>
      </c>
      <c r="N86" s="113">
        <f t="shared" si="0"/>
        <v>1868</v>
      </c>
      <c r="O86" s="113">
        <f t="shared" si="0"/>
        <v>400</v>
      </c>
      <c r="P86" s="113">
        <f t="shared" si="0"/>
        <v>1.71</v>
      </c>
      <c r="Q86" s="113">
        <v>16</v>
      </c>
      <c r="R86" s="113">
        <v>136</v>
      </c>
      <c r="S86" s="114"/>
    </row>
    <row r="87" spans="1:19" ht="16" x14ac:dyDescent="0.2">
      <c r="A87" s="110">
        <v>45894</v>
      </c>
      <c r="B87" s="8" t="s">
        <v>100</v>
      </c>
      <c r="C87" s="113" t="s">
        <v>430</v>
      </c>
      <c r="D87" s="113">
        <v>4</v>
      </c>
      <c r="E87" s="113" t="s">
        <v>429</v>
      </c>
      <c r="F87" s="113" t="s">
        <v>425</v>
      </c>
      <c r="G87" s="113">
        <v>115</v>
      </c>
      <c r="H87" s="113">
        <v>546</v>
      </c>
      <c r="I87" s="113">
        <v>242</v>
      </c>
      <c r="J87" s="113">
        <v>1.77</v>
      </c>
      <c r="K87" s="113">
        <v>574</v>
      </c>
      <c r="L87" s="113">
        <v>246</v>
      </c>
      <c r="M87" s="113">
        <v>1.71</v>
      </c>
      <c r="N87" s="113">
        <f t="shared" si="0"/>
        <v>1120</v>
      </c>
      <c r="O87" s="113">
        <f t="shared" si="0"/>
        <v>488</v>
      </c>
      <c r="P87" s="113">
        <f t="shared" si="0"/>
        <v>3.48</v>
      </c>
      <c r="Q87" s="113">
        <v>18</v>
      </c>
      <c r="R87" s="113">
        <v>92</v>
      </c>
      <c r="S87" s="114" t="s">
        <v>431</v>
      </c>
    </row>
    <row r="88" spans="1:19" ht="16" x14ac:dyDescent="0.2">
      <c r="A88" s="110">
        <v>45894</v>
      </c>
      <c r="B88" s="8" t="s">
        <v>100</v>
      </c>
      <c r="C88" s="113" t="s">
        <v>432</v>
      </c>
      <c r="D88" s="113">
        <v>8</v>
      </c>
      <c r="E88" s="113" t="s">
        <v>429</v>
      </c>
      <c r="F88" s="113" t="s">
        <v>433</v>
      </c>
      <c r="G88" s="113">
        <v>220</v>
      </c>
      <c r="H88" s="113">
        <v>1221</v>
      </c>
      <c r="I88" s="113">
        <v>421</v>
      </c>
      <c r="J88" s="113">
        <v>1.38</v>
      </c>
      <c r="K88" s="113">
        <v>1221</v>
      </c>
      <c r="L88" s="113">
        <v>429</v>
      </c>
      <c r="M88" s="113">
        <v>1.41</v>
      </c>
      <c r="N88" s="113">
        <f t="shared" si="0"/>
        <v>2442</v>
      </c>
      <c r="O88" s="113">
        <f t="shared" si="0"/>
        <v>850</v>
      </c>
      <c r="P88" s="113">
        <f t="shared" si="0"/>
        <v>2.79</v>
      </c>
      <c r="Q88" s="113">
        <v>56</v>
      </c>
      <c r="R88" s="113">
        <v>176</v>
      </c>
      <c r="S88" s="114"/>
    </row>
    <row r="89" spans="1:19" ht="16" x14ac:dyDescent="0.2">
      <c r="A89" s="110">
        <v>45895</v>
      </c>
      <c r="B89" s="8" t="s">
        <v>100</v>
      </c>
      <c r="C89" s="113" t="s">
        <v>434</v>
      </c>
      <c r="D89" s="113">
        <v>7</v>
      </c>
      <c r="E89" s="113" t="s">
        <v>32</v>
      </c>
      <c r="F89" s="113" t="s">
        <v>435</v>
      </c>
      <c r="G89" s="113">
        <v>220</v>
      </c>
      <c r="H89" s="113">
        <v>937</v>
      </c>
      <c r="I89" s="113">
        <v>365</v>
      </c>
      <c r="J89" s="113">
        <v>1.56</v>
      </c>
      <c r="K89" s="113">
        <v>950</v>
      </c>
      <c r="L89" s="113">
        <v>340</v>
      </c>
      <c r="M89" s="113">
        <v>1.43</v>
      </c>
      <c r="N89" s="113">
        <f t="shared" si="0"/>
        <v>1887</v>
      </c>
      <c r="O89" s="113">
        <f t="shared" si="0"/>
        <v>705</v>
      </c>
      <c r="P89" s="113">
        <f t="shared" si="0"/>
        <v>2.99</v>
      </c>
      <c r="Q89" s="113">
        <v>10</v>
      </c>
      <c r="R89" s="113">
        <v>176</v>
      </c>
      <c r="S89" s="114"/>
    </row>
    <row r="90" spans="1:19" ht="16" x14ac:dyDescent="0.2">
      <c r="A90" s="110">
        <v>45896</v>
      </c>
      <c r="B90" s="8" t="s">
        <v>100</v>
      </c>
      <c r="C90" s="113" t="s">
        <v>436</v>
      </c>
      <c r="D90" s="113">
        <v>7</v>
      </c>
      <c r="E90" s="113" t="s">
        <v>419</v>
      </c>
      <c r="F90" s="113" t="s">
        <v>437</v>
      </c>
      <c r="G90" s="113">
        <v>175</v>
      </c>
      <c r="H90" s="113">
        <v>723</v>
      </c>
      <c r="I90" s="113">
        <v>300</v>
      </c>
      <c r="J90" s="113">
        <v>1.66</v>
      </c>
      <c r="K90" s="113">
        <v>740</v>
      </c>
      <c r="L90" s="113">
        <v>342</v>
      </c>
      <c r="M90" s="113">
        <v>1.85</v>
      </c>
      <c r="N90" s="113">
        <f t="shared" si="0"/>
        <v>1463</v>
      </c>
      <c r="O90" s="113">
        <f t="shared" si="0"/>
        <v>642</v>
      </c>
      <c r="P90" s="113">
        <f t="shared" si="0"/>
        <v>3.51</v>
      </c>
      <c r="Q90" s="113">
        <v>7</v>
      </c>
      <c r="R90" s="113">
        <v>140</v>
      </c>
      <c r="S90" s="114"/>
    </row>
    <row r="91" spans="1:19" ht="16" x14ac:dyDescent="0.2">
      <c r="A91" s="110">
        <v>45896</v>
      </c>
      <c r="B91" s="8" t="s">
        <v>100</v>
      </c>
      <c r="C91" s="113" t="s">
        <v>438</v>
      </c>
      <c r="D91" s="113">
        <v>7</v>
      </c>
      <c r="E91" s="113" t="s">
        <v>419</v>
      </c>
      <c r="F91" s="113" t="s">
        <v>425</v>
      </c>
      <c r="G91" s="113">
        <v>125</v>
      </c>
      <c r="H91" s="113">
        <v>656</v>
      </c>
      <c r="I91" s="113">
        <v>274</v>
      </c>
      <c r="J91" s="113">
        <v>1.67</v>
      </c>
      <c r="K91" s="113">
        <v>581</v>
      </c>
      <c r="L91" s="113">
        <v>262</v>
      </c>
      <c r="M91" s="113">
        <v>1.8</v>
      </c>
      <c r="N91" s="113">
        <f t="shared" si="0"/>
        <v>1237</v>
      </c>
      <c r="O91" s="113">
        <f t="shared" si="0"/>
        <v>536</v>
      </c>
      <c r="P91" s="113">
        <f t="shared" si="0"/>
        <v>3.4699999999999998</v>
      </c>
      <c r="Q91" s="113">
        <v>18</v>
      </c>
      <c r="R91" s="113">
        <v>100</v>
      </c>
      <c r="S91" s="114" t="s">
        <v>439</v>
      </c>
    </row>
    <row r="92" spans="1:19" ht="16" x14ac:dyDescent="0.2">
      <c r="A92" s="110">
        <v>45896</v>
      </c>
      <c r="B92" s="8" t="s">
        <v>100</v>
      </c>
      <c r="C92" s="113" t="s">
        <v>440</v>
      </c>
      <c r="D92" s="113">
        <v>8</v>
      </c>
      <c r="E92" s="113" t="s">
        <v>441</v>
      </c>
      <c r="F92" s="113" t="s">
        <v>437</v>
      </c>
      <c r="G92" s="113">
        <v>95</v>
      </c>
      <c r="H92" s="113">
        <v>296</v>
      </c>
      <c r="I92" s="113">
        <v>76</v>
      </c>
      <c r="J92" s="113">
        <v>1.03</v>
      </c>
      <c r="K92" s="113">
        <v>297</v>
      </c>
      <c r="L92" s="113">
        <v>75</v>
      </c>
      <c r="M92" s="113">
        <v>1.01</v>
      </c>
      <c r="N92" s="113">
        <f t="shared" si="0"/>
        <v>593</v>
      </c>
      <c r="O92" s="113">
        <f t="shared" si="0"/>
        <v>151</v>
      </c>
      <c r="P92" s="113">
        <f t="shared" si="0"/>
        <v>2.04</v>
      </c>
      <c r="Q92" s="113"/>
      <c r="R92" s="113"/>
      <c r="S92" s="114" t="s">
        <v>563</v>
      </c>
    </row>
    <row r="93" spans="1:19" ht="16" x14ac:dyDescent="0.2">
      <c r="A93" s="110">
        <v>45901</v>
      </c>
      <c r="B93" s="8" t="s">
        <v>100</v>
      </c>
      <c r="C93" s="113" t="s">
        <v>442</v>
      </c>
      <c r="D93" s="113">
        <v>8</v>
      </c>
      <c r="E93" s="113" t="s">
        <v>419</v>
      </c>
      <c r="F93" s="113" t="s">
        <v>443</v>
      </c>
      <c r="G93" s="113">
        <v>145</v>
      </c>
      <c r="H93" s="113">
        <v>806</v>
      </c>
      <c r="I93" s="113">
        <v>255</v>
      </c>
      <c r="J93" s="113">
        <v>1.27</v>
      </c>
      <c r="K93" s="113">
        <v>886</v>
      </c>
      <c r="L93" s="113">
        <v>303</v>
      </c>
      <c r="M93" s="113">
        <v>1.37</v>
      </c>
      <c r="N93" s="113">
        <f t="shared" si="0"/>
        <v>1692</v>
      </c>
      <c r="O93" s="113">
        <f t="shared" si="0"/>
        <v>558</v>
      </c>
      <c r="P93" s="113">
        <f t="shared" si="0"/>
        <v>2.64</v>
      </c>
      <c r="Q93" s="113">
        <v>15</v>
      </c>
      <c r="R93" s="113">
        <v>116</v>
      </c>
      <c r="S93" s="114"/>
    </row>
    <row r="94" spans="1:19" ht="16" x14ac:dyDescent="0.2">
      <c r="A94" s="110">
        <v>45902</v>
      </c>
      <c r="B94" s="8" t="s">
        <v>100</v>
      </c>
      <c r="C94" s="113" t="s">
        <v>444</v>
      </c>
      <c r="D94" s="113">
        <v>8</v>
      </c>
      <c r="E94" s="113" t="s">
        <v>414</v>
      </c>
      <c r="F94" s="113" t="s">
        <v>427</v>
      </c>
      <c r="G94" s="113">
        <v>330</v>
      </c>
      <c r="H94" s="113">
        <v>1362</v>
      </c>
      <c r="I94" s="113">
        <v>453</v>
      </c>
      <c r="J94" s="113">
        <v>1.33</v>
      </c>
      <c r="K94" s="113">
        <v>1315</v>
      </c>
      <c r="L94" s="113">
        <v>448</v>
      </c>
      <c r="M94" s="113">
        <v>1.36</v>
      </c>
      <c r="N94" s="113">
        <f t="shared" si="0"/>
        <v>2677</v>
      </c>
      <c r="O94" s="113">
        <f t="shared" si="0"/>
        <v>901</v>
      </c>
      <c r="P94" s="113">
        <f t="shared" si="0"/>
        <v>2.6900000000000004</v>
      </c>
      <c r="Q94" s="113">
        <v>11</v>
      </c>
      <c r="R94" s="113">
        <v>264</v>
      </c>
      <c r="S94" s="114"/>
    </row>
    <row r="95" spans="1:19" ht="16" x14ac:dyDescent="0.2">
      <c r="A95" s="110">
        <v>45902</v>
      </c>
      <c r="B95" s="8" t="s">
        <v>100</v>
      </c>
      <c r="C95" s="113" t="s">
        <v>445</v>
      </c>
      <c r="D95" s="113">
        <v>6</v>
      </c>
      <c r="E95" s="113" t="s">
        <v>419</v>
      </c>
      <c r="F95" s="113" t="s">
        <v>443</v>
      </c>
      <c r="G95" s="113">
        <v>185</v>
      </c>
      <c r="H95" s="113">
        <v>742</v>
      </c>
      <c r="I95" s="113">
        <v>332</v>
      </c>
      <c r="J95" s="113">
        <v>1.79</v>
      </c>
      <c r="K95" s="113">
        <v>701</v>
      </c>
      <c r="L95" s="113">
        <v>337</v>
      </c>
      <c r="M95" s="113">
        <v>1.92</v>
      </c>
      <c r="N95" s="113">
        <f t="shared" si="0"/>
        <v>1443</v>
      </c>
      <c r="O95" s="113">
        <f t="shared" si="0"/>
        <v>669</v>
      </c>
      <c r="P95" s="113">
        <f t="shared" si="0"/>
        <v>3.71</v>
      </c>
      <c r="Q95" s="113">
        <v>10</v>
      </c>
      <c r="R95" s="113">
        <v>148</v>
      </c>
      <c r="S95" s="114"/>
    </row>
    <row r="96" spans="1:19" ht="16" x14ac:dyDescent="0.2">
      <c r="A96" s="110">
        <v>45904</v>
      </c>
      <c r="B96" s="8" t="s">
        <v>100</v>
      </c>
      <c r="C96" s="113" t="s">
        <v>446</v>
      </c>
      <c r="D96" s="113">
        <v>6</v>
      </c>
      <c r="E96" s="113" t="s">
        <v>414</v>
      </c>
      <c r="F96" s="113" t="s">
        <v>437</v>
      </c>
      <c r="G96" s="113">
        <v>190</v>
      </c>
      <c r="H96" s="113">
        <v>1175</v>
      </c>
      <c r="I96" s="113">
        <v>172</v>
      </c>
      <c r="J96" s="113">
        <v>0.59</v>
      </c>
      <c r="K96" s="113">
        <v>1271</v>
      </c>
      <c r="L96" s="113">
        <v>203</v>
      </c>
      <c r="M96" s="113">
        <v>0.64</v>
      </c>
      <c r="N96" s="113">
        <f t="shared" si="0"/>
        <v>2446</v>
      </c>
      <c r="O96" s="113">
        <f t="shared" si="0"/>
        <v>375</v>
      </c>
      <c r="P96" s="113">
        <f t="shared" si="0"/>
        <v>1.23</v>
      </c>
      <c r="Q96" s="113">
        <v>34</v>
      </c>
      <c r="R96" s="113">
        <v>152</v>
      </c>
      <c r="S96" s="114"/>
    </row>
    <row r="97" spans="1:19" ht="16" x14ac:dyDescent="0.2">
      <c r="A97" s="110">
        <v>45895</v>
      </c>
      <c r="B97" s="8" t="s">
        <v>100</v>
      </c>
      <c r="C97" s="113" t="s">
        <v>447</v>
      </c>
      <c r="D97" s="113">
        <v>8</v>
      </c>
      <c r="E97" s="113" t="s">
        <v>419</v>
      </c>
      <c r="F97" s="113" t="s">
        <v>448</v>
      </c>
      <c r="G97" s="113">
        <v>210</v>
      </c>
      <c r="H97" s="113">
        <v>864</v>
      </c>
      <c r="I97" s="113">
        <v>278</v>
      </c>
      <c r="J97" s="113">
        <v>1.29</v>
      </c>
      <c r="K97" s="113">
        <v>833</v>
      </c>
      <c r="L97" s="113">
        <v>289</v>
      </c>
      <c r="M97" s="113">
        <v>1.39</v>
      </c>
      <c r="N97" s="113">
        <f t="shared" si="0"/>
        <v>1697</v>
      </c>
      <c r="O97" s="113">
        <f t="shared" si="0"/>
        <v>567</v>
      </c>
      <c r="P97" s="113">
        <f t="shared" si="0"/>
        <v>2.6799999999999997</v>
      </c>
      <c r="Q97" s="113">
        <v>24</v>
      </c>
      <c r="R97" s="113">
        <v>168</v>
      </c>
      <c r="S97" s="114"/>
    </row>
    <row r="98" spans="1:19" ht="16" x14ac:dyDescent="0.2">
      <c r="A98" s="110">
        <v>45897</v>
      </c>
      <c r="B98" s="8" t="s">
        <v>100</v>
      </c>
      <c r="C98" s="113" t="s">
        <v>449</v>
      </c>
      <c r="D98" s="113">
        <v>7</v>
      </c>
      <c r="E98" s="113" t="s">
        <v>414</v>
      </c>
      <c r="F98" s="113" t="s">
        <v>450</v>
      </c>
      <c r="G98" s="113">
        <v>135</v>
      </c>
      <c r="H98" s="113">
        <v>746</v>
      </c>
      <c r="I98" s="113">
        <v>384</v>
      </c>
      <c r="J98" s="113">
        <v>2.06</v>
      </c>
      <c r="K98" s="113">
        <v>730</v>
      </c>
      <c r="L98" s="113">
        <v>408</v>
      </c>
      <c r="M98" s="113">
        <v>2.2400000000000002</v>
      </c>
      <c r="N98" s="113">
        <f t="shared" si="0"/>
        <v>1476</v>
      </c>
      <c r="O98" s="113">
        <f t="shared" si="0"/>
        <v>792</v>
      </c>
      <c r="P98" s="113">
        <f t="shared" si="0"/>
        <v>4.3000000000000007</v>
      </c>
      <c r="Q98" s="113">
        <v>58</v>
      </c>
      <c r="R98" s="113">
        <v>108</v>
      </c>
      <c r="S98" s="114"/>
    </row>
    <row r="99" spans="1:19" ht="16" x14ac:dyDescent="0.2">
      <c r="A99" s="110">
        <v>45898</v>
      </c>
      <c r="B99" s="8" t="s">
        <v>100</v>
      </c>
      <c r="C99" s="113" t="s">
        <v>451</v>
      </c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4" t="s">
        <v>563</v>
      </c>
    </row>
    <row r="100" spans="1:19" ht="16" x14ac:dyDescent="0.2">
      <c r="A100" s="110">
        <v>45898</v>
      </c>
      <c r="B100" s="8" t="s">
        <v>100</v>
      </c>
      <c r="C100" s="113" t="s">
        <v>452</v>
      </c>
      <c r="D100" s="113">
        <v>9</v>
      </c>
      <c r="E100" s="113" t="s">
        <v>419</v>
      </c>
      <c r="F100" s="113" t="s">
        <v>417</v>
      </c>
      <c r="G100" s="113">
        <v>140</v>
      </c>
      <c r="H100" s="113">
        <v>856</v>
      </c>
      <c r="I100" s="113">
        <v>256</v>
      </c>
      <c r="J100" s="113">
        <v>1.2</v>
      </c>
      <c r="K100" s="113">
        <v>961</v>
      </c>
      <c r="L100" s="113">
        <v>274</v>
      </c>
      <c r="M100" s="113">
        <v>1.1399999999999999</v>
      </c>
      <c r="N100" s="113">
        <f>H100+K100</f>
        <v>1817</v>
      </c>
      <c r="O100" s="113">
        <f>I100+L100</f>
        <v>530</v>
      </c>
      <c r="P100" s="113">
        <f>J100+M100</f>
        <v>2.34</v>
      </c>
      <c r="Q100" s="113">
        <v>43</v>
      </c>
      <c r="R100" s="113">
        <v>112</v>
      </c>
      <c r="S100" s="114"/>
    </row>
    <row r="101" spans="1:19" ht="16" x14ac:dyDescent="0.2">
      <c r="A101" s="116">
        <v>45993</v>
      </c>
      <c r="B101" s="8" t="s">
        <v>104</v>
      </c>
      <c r="C101" s="117" t="s">
        <v>413</v>
      </c>
      <c r="D101" s="117">
        <v>7</v>
      </c>
      <c r="E101" s="117" t="s">
        <v>414</v>
      </c>
      <c r="F101" s="117" t="s">
        <v>448</v>
      </c>
      <c r="G101" s="117">
        <v>210</v>
      </c>
      <c r="H101" s="117">
        <v>956</v>
      </c>
      <c r="I101" s="117">
        <v>535</v>
      </c>
      <c r="J101" s="117">
        <v>2.2400000000000002</v>
      </c>
      <c r="K101" s="117">
        <v>871</v>
      </c>
      <c r="L101" s="117">
        <v>491</v>
      </c>
      <c r="M101" s="117">
        <v>2.2599999999999998</v>
      </c>
      <c r="N101" s="117">
        <f t="shared" ref="N101:P128" si="1">H101+K101</f>
        <v>1827</v>
      </c>
      <c r="O101" s="117">
        <f t="shared" si="1"/>
        <v>1026</v>
      </c>
      <c r="P101" s="117">
        <f t="shared" si="1"/>
        <v>4.5</v>
      </c>
      <c r="Q101" s="117">
        <v>11</v>
      </c>
      <c r="R101" s="117">
        <v>168</v>
      </c>
      <c r="S101" s="118" t="s">
        <v>474</v>
      </c>
    </row>
    <row r="102" spans="1:19" ht="16" x14ac:dyDescent="0.2">
      <c r="A102" s="119">
        <v>46002</v>
      </c>
      <c r="B102" s="8" t="s">
        <v>104</v>
      </c>
      <c r="C102" s="120" t="s">
        <v>413</v>
      </c>
      <c r="D102" s="120">
        <v>7</v>
      </c>
      <c r="E102" s="120" t="s">
        <v>414</v>
      </c>
      <c r="F102" s="120" t="s">
        <v>475</v>
      </c>
      <c r="G102" s="120">
        <v>210</v>
      </c>
      <c r="H102" s="120">
        <v>938</v>
      </c>
      <c r="I102" s="120">
        <v>535</v>
      </c>
      <c r="J102" s="120">
        <v>2.2799999999999998</v>
      </c>
      <c r="K102" s="120">
        <v>868</v>
      </c>
      <c r="L102" s="120">
        <v>465</v>
      </c>
      <c r="M102" s="120">
        <v>2.15</v>
      </c>
      <c r="N102" s="120">
        <f t="shared" si="1"/>
        <v>1806</v>
      </c>
      <c r="O102" s="120">
        <f t="shared" si="1"/>
        <v>1000</v>
      </c>
      <c r="P102" s="120">
        <f t="shared" si="1"/>
        <v>4.43</v>
      </c>
      <c r="Q102" s="120">
        <v>17</v>
      </c>
      <c r="R102" s="120">
        <v>156</v>
      </c>
      <c r="S102" s="121" t="s">
        <v>476</v>
      </c>
    </row>
    <row r="103" spans="1:19" ht="16" x14ac:dyDescent="0.2">
      <c r="A103" s="122">
        <v>45993</v>
      </c>
      <c r="B103" s="8" t="s">
        <v>104</v>
      </c>
      <c r="C103" s="117" t="s">
        <v>416</v>
      </c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>
        <f t="shared" si="1"/>
        <v>0</v>
      </c>
      <c r="O103" s="117">
        <f t="shared" si="1"/>
        <v>0</v>
      </c>
      <c r="P103" s="117">
        <f t="shared" si="1"/>
        <v>0</v>
      </c>
      <c r="Q103" s="117"/>
      <c r="R103" s="117"/>
      <c r="S103" s="118" t="s">
        <v>563</v>
      </c>
    </row>
    <row r="104" spans="1:19" ht="16" x14ac:dyDescent="0.2">
      <c r="A104" s="119">
        <v>46007</v>
      </c>
      <c r="B104" s="8" t="s">
        <v>104</v>
      </c>
      <c r="C104" s="120" t="s">
        <v>477</v>
      </c>
      <c r="D104" s="120">
        <v>8</v>
      </c>
      <c r="E104" s="120" t="s">
        <v>414</v>
      </c>
      <c r="F104" s="120" t="s">
        <v>478</v>
      </c>
      <c r="G104" s="120">
        <v>180</v>
      </c>
      <c r="H104" s="120">
        <v>842</v>
      </c>
      <c r="I104" s="120">
        <v>382</v>
      </c>
      <c r="J104" s="120">
        <v>1.82</v>
      </c>
      <c r="K104" s="120">
        <v>780</v>
      </c>
      <c r="L104" s="120">
        <v>348</v>
      </c>
      <c r="M104" s="120">
        <v>1.79</v>
      </c>
      <c r="N104" s="120">
        <f t="shared" si="1"/>
        <v>1622</v>
      </c>
      <c r="O104" s="120">
        <f t="shared" si="1"/>
        <v>730</v>
      </c>
      <c r="P104" s="120">
        <f t="shared" si="1"/>
        <v>3.6100000000000003</v>
      </c>
      <c r="Q104" s="120">
        <v>22</v>
      </c>
      <c r="R104" s="120">
        <v>132</v>
      </c>
      <c r="S104" s="123" t="s">
        <v>479</v>
      </c>
    </row>
    <row r="105" spans="1:19" ht="16" x14ac:dyDescent="0.2">
      <c r="A105" s="119">
        <v>46002</v>
      </c>
      <c r="B105" s="8" t="s">
        <v>104</v>
      </c>
      <c r="C105" s="120" t="s">
        <v>422</v>
      </c>
      <c r="D105" s="120">
        <v>7</v>
      </c>
      <c r="E105" s="120" t="s">
        <v>414</v>
      </c>
      <c r="F105" s="120" t="s">
        <v>417</v>
      </c>
      <c r="G105" s="120">
        <v>280</v>
      </c>
      <c r="H105" s="120">
        <v>1091</v>
      </c>
      <c r="I105" s="120">
        <v>575</v>
      </c>
      <c r="J105" s="120">
        <v>2.11</v>
      </c>
      <c r="K105" s="120">
        <v>1136</v>
      </c>
      <c r="L105" s="120">
        <v>592</v>
      </c>
      <c r="M105" s="120">
        <v>2.08</v>
      </c>
      <c r="N105" s="120">
        <f t="shared" si="1"/>
        <v>2227</v>
      </c>
      <c r="O105" s="120">
        <f t="shared" si="1"/>
        <v>1167</v>
      </c>
      <c r="P105" s="120">
        <f t="shared" si="1"/>
        <v>4.1899999999999995</v>
      </c>
      <c r="Q105" s="120">
        <v>11</v>
      </c>
      <c r="R105" s="120">
        <v>216</v>
      </c>
      <c r="S105" s="123"/>
    </row>
    <row r="106" spans="1:19" ht="16" x14ac:dyDescent="0.2">
      <c r="A106" s="119">
        <v>46002</v>
      </c>
      <c r="B106" s="8" t="s">
        <v>104</v>
      </c>
      <c r="C106" s="120" t="s">
        <v>422</v>
      </c>
      <c r="D106" s="120">
        <v>7</v>
      </c>
      <c r="E106" s="120" t="s">
        <v>414</v>
      </c>
      <c r="F106" s="120" t="s">
        <v>417</v>
      </c>
      <c r="G106" s="120">
        <v>280</v>
      </c>
      <c r="H106" s="120">
        <v>1091</v>
      </c>
      <c r="I106" s="120">
        <v>575</v>
      </c>
      <c r="J106" s="120">
        <v>2.11</v>
      </c>
      <c r="K106" s="120">
        <v>1136</v>
      </c>
      <c r="L106" s="120">
        <v>592</v>
      </c>
      <c r="M106" s="120">
        <v>2.08</v>
      </c>
      <c r="N106" s="120">
        <f t="shared" si="1"/>
        <v>2227</v>
      </c>
      <c r="O106" s="120">
        <f t="shared" si="1"/>
        <v>1167</v>
      </c>
      <c r="P106" s="120">
        <f t="shared" si="1"/>
        <v>4.1899999999999995</v>
      </c>
      <c r="Q106" s="120">
        <v>11</v>
      </c>
      <c r="R106" s="120">
        <v>216</v>
      </c>
      <c r="S106" s="123"/>
    </row>
    <row r="107" spans="1:19" ht="16" x14ac:dyDescent="0.2">
      <c r="A107" s="119">
        <v>46002</v>
      </c>
      <c r="B107" s="8" t="s">
        <v>104</v>
      </c>
      <c r="C107" s="120" t="s">
        <v>424</v>
      </c>
      <c r="D107" s="120">
        <v>6</v>
      </c>
      <c r="E107" s="120" t="s">
        <v>419</v>
      </c>
      <c r="F107" s="120" t="s">
        <v>425</v>
      </c>
      <c r="G107" s="120">
        <v>160</v>
      </c>
      <c r="H107" s="120">
        <v>629</v>
      </c>
      <c r="I107" s="120">
        <v>283</v>
      </c>
      <c r="J107" s="120">
        <v>1.8</v>
      </c>
      <c r="K107" s="120">
        <v>713</v>
      </c>
      <c r="L107" s="120">
        <v>309</v>
      </c>
      <c r="M107" s="120">
        <v>1.73</v>
      </c>
      <c r="N107" s="120">
        <f t="shared" si="1"/>
        <v>1342</v>
      </c>
      <c r="O107" s="120">
        <f t="shared" si="1"/>
        <v>592</v>
      </c>
      <c r="P107" s="120">
        <f t="shared" si="1"/>
        <v>3.5300000000000002</v>
      </c>
      <c r="Q107" s="120">
        <v>26</v>
      </c>
      <c r="R107" s="120">
        <v>116</v>
      </c>
      <c r="S107" s="123"/>
    </row>
    <row r="108" spans="1:19" ht="16" x14ac:dyDescent="0.2">
      <c r="A108" s="119">
        <v>46002</v>
      </c>
      <c r="B108" s="8" t="s">
        <v>104</v>
      </c>
      <c r="C108" s="120" t="s">
        <v>424</v>
      </c>
      <c r="D108" s="120">
        <v>6</v>
      </c>
      <c r="E108" s="120" t="s">
        <v>419</v>
      </c>
      <c r="F108" s="120" t="s">
        <v>425</v>
      </c>
      <c r="G108" s="120">
        <v>160</v>
      </c>
      <c r="H108" s="120">
        <v>629</v>
      </c>
      <c r="I108" s="120">
        <v>283</v>
      </c>
      <c r="J108" s="120">
        <v>1.8</v>
      </c>
      <c r="K108" s="120">
        <v>713</v>
      </c>
      <c r="L108" s="120">
        <v>309</v>
      </c>
      <c r="M108" s="120">
        <v>1.73</v>
      </c>
      <c r="N108" s="120">
        <f t="shared" si="1"/>
        <v>1342</v>
      </c>
      <c r="O108" s="120">
        <f t="shared" si="1"/>
        <v>592</v>
      </c>
      <c r="P108" s="120">
        <f t="shared" si="1"/>
        <v>3.5300000000000002</v>
      </c>
      <c r="Q108" s="120">
        <v>26</v>
      </c>
      <c r="R108" s="120">
        <v>116</v>
      </c>
      <c r="S108" s="123"/>
    </row>
    <row r="109" spans="1:19" ht="16" x14ac:dyDescent="0.2">
      <c r="A109" s="122">
        <v>45992</v>
      </c>
      <c r="B109" s="8" t="s">
        <v>104</v>
      </c>
      <c r="C109" s="117" t="s">
        <v>480</v>
      </c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>
        <f t="shared" si="1"/>
        <v>0</v>
      </c>
      <c r="O109" s="117">
        <f t="shared" si="1"/>
        <v>0</v>
      </c>
      <c r="P109" s="117">
        <f t="shared" si="1"/>
        <v>0</v>
      </c>
      <c r="Q109" s="117"/>
      <c r="R109" s="117"/>
      <c r="S109" s="118" t="s">
        <v>563</v>
      </c>
    </row>
    <row r="110" spans="1:19" ht="16" x14ac:dyDescent="0.2">
      <c r="A110" s="116">
        <v>45993</v>
      </c>
      <c r="B110" s="8" t="s">
        <v>104</v>
      </c>
      <c r="C110" s="117" t="s">
        <v>428</v>
      </c>
      <c r="D110" s="117">
        <v>8</v>
      </c>
      <c r="E110" s="117" t="s">
        <v>414</v>
      </c>
      <c r="F110" s="117" t="s">
        <v>437</v>
      </c>
      <c r="G110" s="117">
        <v>200</v>
      </c>
      <c r="H110" s="117">
        <v>827</v>
      </c>
      <c r="I110" s="117">
        <v>263</v>
      </c>
      <c r="J110" s="117">
        <v>1.27</v>
      </c>
      <c r="K110" s="117">
        <v>886</v>
      </c>
      <c r="L110" s="117">
        <v>255</v>
      </c>
      <c r="M110" s="117">
        <v>1.1499999999999999</v>
      </c>
      <c r="N110" s="117">
        <f t="shared" si="1"/>
        <v>1713</v>
      </c>
      <c r="O110" s="117">
        <f t="shared" si="1"/>
        <v>518</v>
      </c>
      <c r="P110" s="117">
        <f t="shared" si="1"/>
        <v>2.42</v>
      </c>
      <c r="Q110" s="117">
        <v>10</v>
      </c>
      <c r="R110" s="117">
        <v>160</v>
      </c>
      <c r="S110" s="118"/>
    </row>
    <row r="111" spans="1:19" ht="16" x14ac:dyDescent="0.2">
      <c r="A111" s="119">
        <v>45995</v>
      </c>
      <c r="B111" s="8" t="s">
        <v>104</v>
      </c>
      <c r="C111" s="120" t="s">
        <v>428</v>
      </c>
      <c r="D111" s="120">
        <v>8</v>
      </c>
      <c r="E111" s="120" t="s">
        <v>414</v>
      </c>
      <c r="F111" s="120" t="s">
        <v>437</v>
      </c>
      <c r="G111" s="120">
        <v>200</v>
      </c>
      <c r="H111" s="120">
        <v>854</v>
      </c>
      <c r="I111" s="120">
        <v>307</v>
      </c>
      <c r="J111" s="120">
        <v>1.44</v>
      </c>
      <c r="K111" s="120">
        <v>908</v>
      </c>
      <c r="L111" s="120">
        <v>318</v>
      </c>
      <c r="M111" s="120">
        <v>1.4</v>
      </c>
      <c r="N111" s="120">
        <f t="shared" si="1"/>
        <v>1762</v>
      </c>
      <c r="O111" s="120">
        <f t="shared" si="1"/>
        <v>625</v>
      </c>
      <c r="P111" s="120">
        <f t="shared" si="1"/>
        <v>2.84</v>
      </c>
      <c r="Q111" s="120">
        <v>25</v>
      </c>
      <c r="R111" s="120">
        <v>136</v>
      </c>
      <c r="S111" s="121" t="s">
        <v>481</v>
      </c>
    </row>
    <row r="112" spans="1:19" ht="16" x14ac:dyDescent="0.2">
      <c r="A112" s="122">
        <v>45992</v>
      </c>
      <c r="B112" s="8" t="s">
        <v>104</v>
      </c>
      <c r="C112" s="117" t="s">
        <v>482</v>
      </c>
      <c r="D112" s="117">
        <v>6</v>
      </c>
      <c r="E112" s="117" t="s">
        <v>419</v>
      </c>
      <c r="F112" s="117" t="s">
        <v>467</v>
      </c>
      <c r="G112" s="117">
        <v>240</v>
      </c>
      <c r="H112" s="117">
        <v>912</v>
      </c>
      <c r="I112" s="117">
        <v>424</v>
      </c>
      <c r="J112" s="117">
        <v>1.86</v>
      </c>
      <c r="K112" s="117">
        <v>989</v>
      </c>
      <c r="L112" s="117">
        <v>458</v>
      </c>
      <c r="M112" s="117">
        <v>1.85</v>
      </c>
      <c r="N112" s="117">
        <f t="shared" si="1"/>
        <v>1901</v>
      </c>
      <c r="O112" s="117">
        <f t="shared" si="1"/>
        <v>882</v>
      </c>
      <c r="P112" s="117">
        <f t="shared" si="1"/>
        <v>3.71</v>
      </c>
      <c r="Q112" s="117">
        <v>14</v>
      </c>
      <c r="R112" s="117">
        <v>192</v>
      </c>
      <c r="S112" s="118"/>
    </row>
    <row r="113" spans="1:19" ht="16" x14ac:dyDescent="0.2">
      <c r="A113" s="122">
        <v>45996</v>
      </c>
      <c r="B113" s="8" t="s">
        <v>104</v>
      </c>
      <c r="C113" s="120" t="s">
        <v>482</v>
      </c>
      <c r="D113" s="120">
        <v>6</v>
      </c>
      <c r="E113" s="120" t="s">
        <v>419</v>
      </c>
      <c r="F113" s="120" t="s">
        <v>467</v>
      </c>
      <c r="G113" s="120">
        <v>245</v>
      </c>
      <c r="H113" s="120"/>
      <c r="I113" s="120"/>
      <c r="J113" s="120"/>
      <c r="K113" s="120"/>
      <c r="L113" s="120"/>
      <c r="M113" s="120"/>
      <c r="N113" s="120">
        <f t="shared" si="1"/>
        <v>0</v>
      </c>
      <c r="O113" s="120">
        <f t="shared" si="1"/>
        <v>0</v>
      </c>
      <c r="P113" s="120">
        <f t="shared" si="1"/>
        <v>0</v>
      </c>
      <c r="Q113" s="120">
        <v>30</v>
      </c>
      <c r="R113" s="120">
        <v>180</v>
      </c>
      <c r="S113" s="121" t="s">
        <v>483</v>
      </c>
    </row>
    <row r="114" spans="1:19" ht="16" x14ac:dyDescent="0.2">
      <c r="A114" s="116">
        <v>45992</v>
      </c>
      <c r="B114" s="8" t="s">
        <v>104</v>
      </c>
      <c r="C114" s="117" t="s">
        <v>430</v>
      </c>
      <c r="D114" s="117">
        <v>6</v>
      </c>
      <c r="E114" s="117" t="s">
        <v>414</v>
      </c>
      <c r="F114" s="117" t="s">
        <v>425</v>
      </c>
      <c r="G114" s="117">
        <v>175</v>
      </c>
      <c r="H114" s="117">
        <v>645</v>
      </c>
      <c r="I114" s="117">
        <v>298</v>
      </c>
      <c r="J114" s="117">
        <v>1.85</v>
      </c>
      <c r="K114" s="117">
        <v>645</v>
      </c>
      <c r="L114" s="117">
        <v>300</v>
      </c>
      <c r="M114" s="117">
        <v>1.86</v>
      </c>
      <c r="N114" s="117">
        <f t="shared" si="1"/>
        <v>1290</v>
      </c>
      <c r="O114" s="117">
        <f t="shared" si="1"/>
        <v>598</v>
      </c>
      <c r="P114" s="117">
        <f t="shared" si="1"/>
        <v>3.71</v>
      </c>
      <c r="Q114" s="117">
        <v>10</v>
      </c>
      <c r="R114" s="117">
        <v>140</v>
      </c>
      <c r="S114" s="118"/>
    </row>
    <row r="115" spans="1:19" ht="16" x14ac:dyDescent="0.2">
      <c r="A115" s="119">
        <v>46002</v>
      </c>
      <c r="B115" s="8" t="s">
        <v>104</v>
      </c>
      <c r="C115" s="120" t="s">
        <v>430</v>
      </c>
      <c r="D115" s="120">
        <v>4</v>
      </c>
      <c r="E115" s="120" t="s">
        <v>414</v>
      </c>
      <c r="F115" s="120" t="s">
        <v>425</v>
      </c>
      <c r="G115" s="120">
        <v>140</v>
      </c>
      <c r="H115" s="120">
        <v>584</v>
      </c>
      <c r="I115" s="120">
        <v>285</v>
      </c>
      <c r="J115" s="120">
        <v>1.95</v>
      </c>
      <c r="K115" s="120">
        <v>592</v>
      </c>
      <c r="L115" s="120">
        <v>284</v>
      </c>
      <c r="M115" s="120">
        <v>1.92</v>
      </c>
      <c r="N115" s="120">
        <f t="shared" si="1"/>
        <v>1176</v>
      </c>
      <c r="O115" s="120">
        <f t="shared" si="1"/>
        <v>569</v>
      </c>
      <c r="P115" s="120">
        <f t="shared" si="1"/>
        <v>3.87</v>
      </c>
      <c r="Q115" s="120">
        <v>23</v>
      </c>
      <c r="R115" s="120">
        <v>92</v>
      </c>
      <c r="S115" s="121" t="s">
        <v>476</v>
      </c>
    </row>
    <row r="116" spans="1:19" ht="16" x14ac:dyDescent="0.2">
      <c r="A116" s="122">
        <v>45993</v>
      </c>
      <c r="B116" s="8" t="s">
        <v>104</v>
      </c>
      <c r="C116" s="117" t="s">
        <v>434</v>
      </c>
      <c r="D116" s="117">
        <v>7</v>
      </c>
      <c r="E116" s="117" t="s">
        <v>414</v>
      </c>
      <c r="F116" s="117" t="s">
        <v>417</v>
      </c>
      <c r="G116" s="117">
        <v>240</v>
      </c>
      <c r="H116" s="117">
        <v>965</v>
      </c>
      <c r="I116" s="117">
        <v>301</v>
      </c>
      <c r="J116" s="117">
        <v>1.25</v>
      </c>
      <c r="K116" s="117">
        <v>941</v>
      </c>
      <c r="L116" s="117">
        <v>283</v>
      </c>
      <c r="M116" s="117">
        <v>1.2</v>
      </c>
      <c r="N116" s="117">
        <f t="shared" si="1"/>
        <v>1906</v>
      </c>
      <c r="O116" s="117">
        <f t="shared" si="1"/>
        <v>584</v>
      </c>
      <c r="P116" s="117">
        <f t="shared" si="1"/>
        <v>2.4500000000000002</v>
      </c>
      <c r="Q116" s="117">
        <v>7</v>
      </c>
      <c r="R116" s="117">
        <v>192</v>
      </c>
      <c r="S116" s="118" t="s">
        <v>484</v>
      </c>
    </row>
    <row r="117" spans="1:19" ht="16" x14ac:dyDescent="0.2">
      <c r="A117" s="116">
        <v>45992</v>
      </c>
      <c r="B117" s="8" t="s">
        <v>104</v>
      </c>
      <c r="C117" s="117" t="s">
        <v>436</v>
      </c>
      <c r="D117" s="117">
        <v>7</v>
      </c>
      <c r="E117" s="117" t="s">
        <v>419</v>
      </c>
      <c r="F117" s="117" t="s">
        <v>485</v>
      </c>
      <c r="G117" s="117">
        <v>200</v>
      </c>
      <c r="H117" s="117">
        <v>833</v>
      </c>
      <c r="I117" s="117">
        <v>384</v>
      </c>
      <c r="J117" s="117">
        <v>1.84</v>
      </c>
      <c r="K117" s="117">
        <v>865</v>
      </c>
      <c r="L117" s="117">
        <v>422</v>
      </c>
      <c r="M117" s="117">
        <v>1.95</v>
      </c>
      <c r="N117" s="117">
        <f t="shared" si="1"/>
        <v>1698</v>
      </c>
      <c r="O117" s="117">
        <f t="shared" si="1"/>
        <v>806</v>
      </c>
      <c r="P117" s="117">
        <f t="shared" si="1"/>
        <v>3.79</v>
      </c>
      <c r="Q117" s="117">
        <v>19</v>
      </c>
      <c r="R117" s="117">
        <v>160</v>
      </c>
      <c r="S117" s="118"/>
    </row>
    <row r="118" spans="1:19" ht="16" x14ac:dyDescent="0.2">
      <c r="A118" s="119">
        <v>46000</v>
      </c>
      <c r="B118" s="8" t="s">
        <v>104</v>
      </c>
      <c r="C118" s="120" t="s">
        <v>436</v>
      </c>
      <c r="D118" s="120">
        <v>7</v>
      </c>
      <c r="E118" s="120" t="s">
        <v>419</v>
      </c>
      <c r="F118" s="120" t="s">
        <v>437</v>
      </c>
      <c r="G118" s="120">
        <v>205</v>
      </c>
      <c r="H118" s="120">
        <v>867</v>
      </c>
      <c r="I118" s="120">
        <v>396</v>
      </c>
      <c r="J118" s="120">
        <v>1.83</v>
      </c>
      <c r="K118" s="120">
        <v>891</v>
      </c>
      <c r="L118" s="120">
        <v>438</v>
      </c>
      <c r="M118" s="120">
        <v>1.96</v>
      </c>
      <c r="N118" s="120">
        <f t="shared" si="1"/>
        <v>1758</v>
      </c>
      <c r="O118" s="120">
        <f t="shared" si="1"/>
        <v>834</v>
      </c>
      <c r="P118" s="120">
        <f t="shared" si="1"/>
        <v>3.79</v>
      </c>
      <c r="Q118" s="120">
        <v>28</v>
      </c>
      <c r="R118" s="120">
        <v>140</v>
      </c>
      <c r="S118" s="123"/>
    </row>
    <row r="119" spans="1:19" ht="16" x14ac:dyDescent="0.2">
      <c r="A119" s="116">
        <v>45992</v>
      </c>
      <c r="B119" s="8" t="s">
        <v>104</v>
      </c>
      <c r="C119" s="117" t="s">
        <v>438</v>
      </c>
      <c r="D119" s="117">
        <v>7</v>
      </c>
      <c r="E119" s="117" t="s">
        <v>419</v>
      </c>
      <c r="F119" s="117" t="s">
        <v>443</v>
      </c>
      <c r="G119" s="117">
        <v>140</v>
      </c>
      <c r="H119" s="117">
        <v>566</v>
      </c>
      <c r="I119" s="117">
        <v>278</v>
      </c>
      <c r="J119" s="117">
        <v>1.96</v>
      </c>
      <c r="K119" s="117">
        <v>603</v>
      </c>
      <c r="L119" s="117">
        <v>273</v>
      </c>
      <c r="M119" s="117">
        <v>1.81</v>
      </c>
      <c r="N119" s="117">
        <f t="shared" si="1"/>
        <v>1169</v>
      </c>
      <c r="O119" s="117">
        <f t="shared" si="1"/>
        <v>551</v>
      </c>
      <c r="P119" s="117">
        <f t="shared" si="1"/>
        <v>3.77</v>
      </c>
      <c r="Q119" s="117">
        <v>12</v>
      </c>
      <c r="R119" s="117">
        <v>112</v>
      </c>
      <c r="S119" s="118"/>
    </row>
    <row r="120" spans="1:19" ht="16" x14ac:dyDescent="0.2">
      <c r="A120" s="119">
        <v>45995</v>
      </c>
      <c r="B120" s="8" t="s">
        <v>104</v>
      </c>
      <c r="C120" s="120" t="s">
        <v>438</v>
      </c>
      <c r="D120" s="120">
        <v>7</v>
      </c>
      <c r="E120" s="120" t="s">
        <v>419</v>
      </c>
      <c r="F120" s="120" t="s">
        <v>443</v>
      </c>
      <c r="G120" s="120">
        <v>140</v>
      </c>
      <c r="H120" s="120">
        <v>558</v>
      </c>
      <c r="I120" s="120">
        <v>286</v>
      </c>
      <c r="J120" s="120">
        <v>2.0499999999999998</v>
      </c>
      <c r="K120" s="120">
        <v>599</v>
      </c>
      <c r="L120" s="120">
        <v>285</v>
      </c>
      <c r="M120" s="120">
        <v>1.91</v>
      </c>
      <c r="N120" s="120">
        <f t="shared" si="1"/>
        <v>1157</v>
      </c>
      <c r="O120" s="120">
        <f t="shared" si="1"/>
        <v>571</v>
      </c>
      <c r="P120" s="120">
        <f t="shared" si="1"/>
        <v>3.96</v>
      </c>
      <c r="Q120" s="120">
        <v>16</v>
      </c>
      <c r="R120" s="120">
        <v>100</v>
      </c>
      <c r="S120" s="121" t="s">
        <v>481</v>
      </c>
    </row>
    <row r="121" spans="1:19" ht="16" x14ac:dyDescent="0.2">
      <c r="A121" s="116">
        <v>45993</v>
      </c>
      <c r="B121" s="8" t="s">
        <v>104</v>
      </c>
      <c r="C121" s="117" t="s">
        <v>440</v>
      </c>
      <c r="D121" s="117">
        <v>8</v>
      </c>
      <c r="E121" s="117" t="s">
        <v>462</v>
      </c>
      <c r="F121" s="117" t="s">
        <v>437</v>
      </c>
      <c r="G121" s="117">
        <v>120</v>
      </c>
      <c r="H121" s="117">
        <v>554</v>
      </c>
      <c r="I121" s="117">
        <v>85</v>
      </c>
      <c r="J121" s="117">
        <v>0.61</v>
      </c>
      <c r="K121" s="117">
        <v>475</v>
      </c>
      <c r="L121" s="117">
        <v>82</v>
      </c>
      <c r="M121" s="117">
        <v>0.69</v>
      </c>
      <c r="N121" s="117">
        <f t="shared" si="1"/>
        <v>1029</v>
      </c>
      <c r="O121" s="117">
        <f t="shared" si="1"/>
        <v>167</v>
      </c>
      <c r="P121" s="117">
        <f t="shared" si="1"/>
        <v>1.2999999999999998</v>
      </c>
      <c r="Q121" s="117">
        <v>1</v>
      </c>
      <c r="R121" s="117">
        <v>96</v>
      </c>
      <c r="S121" s="118" t="s">
        <v>564</v>
      </c>
    </row>
    <row r="122" spans="1:19" ht="16" x14ac:dyDescent="0.2">
      <c r="A122" s="119">
        <v>46000</v>
      </c>
      <c r="B122" s="8" t="s">
        <v>104</v>
      </c>
      <c r="C122" s="120" t="s">
        <v>440</v>
      </c>
      <c r="D122" s="120">
        <v>8</v>
      </c>
      <c r="E122" s="120" t="s">
        <v>35</v>
      </c>
      <c r="F122" s="120" t="s">
        <v>450</v>
      </c>
      <c r="G122" s="120">
        <v>110</v>
      </c>
      <c r="H122" s="120">
        <v>544</v>
      </c>
      <c r="I122" s="120">
        <v>114</v>
      </c>
      <c r="J122" s="120">
        <v>0.84</v>
      </c>
      <c r="K122" s="120">
        <v>547</v>
      </c>
      <c r="L122" s="120">
        <v>115</v>
      </c>
      <c r="M122" s="120">
        <v>0.84</v>
      </c>
      <c r="N122" s="120">
        <f t="shared" si="1"/>
        <v>1091</v>
      </c>
      <c r="O122" s="120">
        <f t="shared" si="1"/>
        <v>229</v>
      </c>
      <c r="P122" s="120">
        <f t="shared" si="1"/>
        <v>1.68</v>
      </c>
      <c r="Q122" s="120">
        <v>11</v>
      </c>
      <c r="R122" s="120">
        <v>85</v>
      </c>
      <c r="S122" s="121" t="s">
        <v>476</v>
      </c>
    </row>
    <row r="123" spans="1:19" ht="16" x14ac:dyDescent="0.2">
      <c r="A123" s="119">
        <v>46002</v>
      </c>
      <c r="B123" s="8" t="s">
        <v>104</v>
      </c>
      <c r="C123" s="120" t="s">
        <v>444</v>
      </c>
      <c r="D123" s="120">
        <v>8</v>
      </c>
      <c r="E123" s="120" t="s">
        <v>414</v>
      </c>
      <c r="F123" s="120" t="s">
        <v>486</v>
      </c>
      <c r="G123" s="120">
        <v>350</v>
      </c>
      <c r="H123" s="120">
        <v>2553</v>
      </c>
      <c r="I123" s="120">
        <v>359</v>
      </c>
      <c r="J123" s="120">
        <v>0.56000000000000005</v>
      </c>
      <c r="K123" s="120">
        <v>2527</v>
      </c>
      <c r="L123" s="120">
        <v>376</v>
      </c>
      <c r="M123" s="120">
        <v>0.56000000000000005</v>
      </c>
      <c r="N123" s="120">
        <f t="shared" si="1"/>
        <v>5080</v>
      </c>
      <c r="O123" s="120">
        <f t="shared" si="1"/>
        <v>735</v>
      </c>
      <c r="P123" s="120">
        <f t="shared" si="1"/>
        <v>1.1200000000000001</v>
      </c>
      <c r="Q123" s="120">
        <v>20</v>
      </c>
      <c r="R123" s="120">
        <v>164</v>
      </c>
      <c r="S123" s="123"/>
    </row>
    <row r="124" spans="1:19" ht="16" x14ac:dyDescent="0.2">
      <c r="A124" s="119">
        <v>46002</v>
      </c>
      <c r="B124" s="8" t="s">
        <v>104</v>
      </c>
      <c r="C124" s="120" t="s">
        <v>444</v>
      </c>
      <c r="D124" s="120">
        <v>8</v>
      </c>
      <c r="E124" s="120" t="s">
        <v>414</v>
      </c>
      <c r="F124" s="120" t="s">
        <v>486</v>
      </c>
      <c r="G124" s="120">
        <v>350</v>
      </c>
      <c r="H124" s="120">
        <v>2553</v>
      </c>
      <c r="I124" s="120">
        <v>359</v>
      </c>
      <c r="J124" s="120">
        <v>0.56000000000000005</v>
      </c>
      <c r="K124" s="120">
        <v>2527</v>
      </c>
      <c r="L124" s="120">
        <v>376</v>
      </c>
      <c r="M124" s="120">
        <v>0.56000000000000005</v>
      </c>
      <c r="N124" s="120">
        <f t="shared" si="1"/>
        <v>5080</v>
      </c>
      <c r="O124" s="120">
        <f t="shared" si="1"/>
        <v>735</v>
      </c>
      <c r="P124" s="120">
        <f t="shared" si="1"/>
        <v>1.1200000000000001</v>
      </c>
      <c r="Q124" s="120">
        <v>20</v>
      </c>
      <c r="R124" s="120">
        <v>164</v>
      </c>
      <c r="S124" s="123"/>
    </row>
    <row r="125" spans="1:19" ht="16" x14ac:dyDescent="0.2">
      <c r="A125" s="119">
        <v>46002</v>
      </c>
      <c r="B125" s="8" t="s">
        <v>104</v>
      </c>
      <c r="C125" s="120" t="s">
        <v>447</v>
      </c>
      <c r="D125" s="120">
        <v>8</v>
      </c>
      <c r="E125" s="120" t="s">
        <v>419</v>
      </c>
      <c r="F125" s="120" t="s">
        <v>448</v>
      </c>
      <c r="G125" s="120">
        <v>250</v>
      </c>
      <c r="H125" s="120">
        <v>876</v>
      </c>
      <c r="I125" s="120">
        <v>260</v>
      </c>
      <c r="J125" s="120">
        <v>1.19</v>
      </c>
      <c r="K125" s="120">
        <v>836</v>
      </c>
      <c r="L125" s="120">
        <v>261</v>
      </c>
      <c r="M125" s="120">
        <v>1.25</v>
      </c>
      <c r="N125" s="120">
        <f t="shared" si="1"/>
        <v>1712</v>
      </c>
      <c r="O125" s="120">
        <f t="shared" si="1"/>
        <v>521</v>
      </c>
      <c r="P125" s="120">
        <f t="shared" si="1"/>
        <v>2.44</v>
      </c>
      <c r="Q125" s="120">
        <v>35</v>
      </c>
      <c r="R125" s="120">
        <v>168</v>
      </c>
      <c r="S125" s="123" t="s">
        <v>487</v>
      </c>
    </row>
    <row r="126" spans="1:19" ht="16" x14ac:dyDescent="0.2">
      <c r="A126" s="119">
        <v>46002</v>
      </c>
      <c r="B126" s="8" t="s">
        <v>104</v>
      </c>
      <c r="C126" s="120" t="s">
        <v>447</v>
      </c>
      <c r="D126" s="120">
        <v>8</v>
      </c>
      <c r="E126" s="120" t="s">
        <v>419</v>
      </c>
      <c r="F126" s="120" t="s">
        <v>448</v>
      </c>
      <c r="G126" s="120">
        <v>250</v>
      </c>
      <c r="H126" s="120">
        <v>876</v>
      </c>
      <c r="I126" s="120">
        <v>260</v>
      </c>
      <c r="J126" s="120">
        <v>1.19</v>
      </c>
      <c r="K126" s="120">
        <v>836</v>
      </c>
      <c r="L126" s="120">
        <v>261</v>
      </c>
      <c r="M126" s="120">
        <v>1.25</v>
      </c>
      <c r="N126" s="120">
        <f t="shared" si="1"/>
        <v>1712</v>
      </c>
      <c r="O126" s="120">
        <f t="shared" si="1"/>
        <v>521</v>
      </c>
      <c r="P126" s="120">
        <f t="shared" si="1"/>
        <v>2.44</v>
      </c>
      <c r="Q126" s="120">
        <v>35</v>
      </c>
      <c r="R126" s="120">
        <v>168</v>
      </c>
      <c r="S126" s="123" t="s">
        <v>487</v>
      </c>
    </row>
    <row r="127" spans="1:19" ht="16" x14ac:dyDescent="0.2">
      <c r="A127" s="119">
        <v>45994</v>
      </c>
      <c r="B127" s="8" t="s">
        <v>104</v>
      </c>
      <c r="C127" s="120" t="s">
        <v>449</v>
      </c>
      <c r="D127" s="120">
        <v>7</v>
      </c>
      <c r="E127" s="120" t="s">
        <v>414</v>
      </c>
      <c r="F127" s="120" t="s">
        <v>450</v>
      </c>
      <c r="G127" s="120">
        <v>180</v>
      </c>
      <c r="H127" s="120">
        <v>817</v>
      </c>
      <c r="I127" s="120">
        <v>416</v>
      </c>
      <c r="J127" s="120">
        <v>2.04</v>
      </c>
      <c r="K127" s="120">
        <v>845</v>
      </c>
      <c r="L127" s="120">
        <v>436</v>
      </c>
      <c r="M127" s="120">
        <v>2.0699999999999998</v>
      </c>
      <c r="N127" s="120">
        <f t="shared" si="1"/>
        <v>1662</v>
      </c>
      <c r="O127" s="120">
        <f t="shared" si="1"/>
        <v>852</v>
      </c>
      <c r="P127" s="120">
        <f t="shared" si="1"/>
        <v>4.1099999999999994</v>
      </c>
      <c r="Q127" s="120">
        <v>115</v>
      </c>
      <c r="R127" s="120">
        <v>108</v>
      </c>
      <c r="S127" s="123"/>
    </row>
    <row r="128" spans="1:19" ht="16" x14ac:dyDescent="0.2">
      <c r="A128" s="119">
        <v>45994</v>
      </c>
      <c r="B128" s="8" t="s">
        <v>104</v>
      </c>
      <c r="C128" s="120" t="s">
        <v>449</v>
      </c>
      <c r="D128" s="120">
        <v>7</v>
      </c>
      <c r="E128" s="120" t="s">
        <v>414</v>
      </c>
      <c r="F128" s="120" t="s">
        <v>450</v>
      </c>
      <c r="G128" s="120">
        <v>180</v>
      </c>
      <c r="H128" s="120">
        <v>817</v>
      </c>
      <c r="I128" s="120">
        <v>416</v>
      </c>
      <c r="J128" s="120">
        <v>2.04</v>
      </c>
      <c r="K128" s="120">
        <v>845</v>
      </c>
      <c r="L128" s="120">
        <v>436</v>
      </c>
      <c r="M128" s="120">
        <v>2.0699999999999998</v>
      </c>
      <c r="N128" s="120">
        <f t="shared" si="1"/>
        <v>1662</v>
      </c>
      <c r="O128" s="120">
        <f t="shared" si="1"/>
        <v>852</v>
      </c>
      <c r="P128" s="120">
        <f t="shared" si="1"/>
        <v>4.1099999999999994</v>
      </c>
      <c r="Q128" s="120">
        <v>115</v>
      </c>
      <c r="R128" s="120">
        <v>108</v>
      </c>
      <c r="S128" s="123"/>
    </row>
    <row r="131" spans="1:2" x14ac:dyDescent="0.2">
      <c r="A131" s="124"/>
      <c r="B131" t="s">
        <v>488</v>
      </c>
    </row>
    <row r="132" spans="1:2" x14ac:dyDescent="0.2">
      <c r="A132" s="11"/>
      <c r="B132" t="s">
        <v>489</v>
      </c>
    </row>
    <row r="135" spans="1:2" x14ac:dyDescent="0.2">
      <c r="A135" s="125"/>
      <c r="B135" t="s">
        <v>490</v>
      </c>
    </row>
    <row r="136" spans="1:2" x14ac:dyDescent="0.2">
      <c r="B136" t="s">
        <v>491</v>
      </c>
    </row>
    <row r="137" spans="1:2" x14ac:dyDescent="0.2">
      <c r="B137" t="s">
        <v>492</v>
      </c>
    </row>
    <row r="138" spans="1:2" x14ac:dyDescent="0.2">
      <c r="B138" t="s">
        <v>493</v>
      </c>
    </row>
    <row r="139" spans="1:2" x14ac:dyDescent="0.2">
      <c r="B139" t="s">
        <v>494</v>
      </c>
    </row>
    <row r="140" spans="1:2" x14ac:dyDescent="0.2">
      <c r="B140" t="s">
        <v>495</v>
      </c>
    </row>
    <row r="141" spans="1:2" x14ac:dyDescent="0.2">
      <c r="B141" t="s">
        <v>496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EE97-CB54-4CEF-BCA6-58F9B52F0698}">
  <dimension ref="A1:AD3"/>
  <sheetViews>
    <sheetView workbookViewId="0">
      <selection activeCell="C2" sqref="C2"/>
    </sheetView>
  </sheetViews>
  <sheetFormatPr baseColWidth="10" defaultRowHeight="15" x14ac:dyDescent="0.2"/>
  <sheetData>
    <row r="1" spans="1:30" x14ac:dyDescent="0.2">
      <c r="A1" s="76" t="s">
        <v>348</v>
      </c>
      <c r="B1" s="77" t="s">
        <v>349</v>
      </c>
      <c r="C1" s="77" t="s">
        <v>0</v>
      </c>
      <c r="D1" s="77" t="s">
        <v>350</v>
      </c>
      <c r="E1" s="77" t="s">
        <v>351</v>
      </c>
      <c r="F1" s="77" t="s">
        <v>352</v>
      </c>
      <c r="G1" s="77" t="s">
        <v>353</v>
      </c>
      <c r="H1" s="77" t="s">
        <v>354</v>
      </c>
      <c r="I1" s="77" t="s">
        <v>355</v>
      </c>
      <c r="J1" s="77" t="s">
        <v>356</v>
      </c>
      <c r="K1" s="77" t="s">
        <v>357</v>
      </c>
      <c r="L1" s="77" t="s">
        <v>358</v>
      </c>
      <c r="M1" s="77" t="s">
        <v>325</v>
      </c>
      <c r="N1" s="77" t="s">
        <v>359</v>
      </c>
      <c r="O1" s="77" t="s">
        <v>360</v>
      </c>
      <c r="P1" s="77" t="s">
        <v>361</v>
      </c>
      <c r="Q1" s="77" t="s">
        <v>362</v>
      </c>
      <c r="R1" s="78" t="s">
        <v>363</v>
      </c>
      <c r="S1" s="77" t="s">
        <v>364</v>
      </c>
      <c r="T1" s="77" t="s">
        <v>365</v>
      </c>
      <c r="U1" s="77" t="s">
        <v>366</v>
      </c>
      <c r="V1" s="77" t="s">
        <v>367</v>
      </c>
      <c r="W1" s="77" t="s">
        <v>368</v>
      </c>
      <c r="X1" s="77" t="s">
        <v>369</v>
      </c>
      <c r="Y1" s="77" t="s">
        <v>370</v>
      </c>
      <c r="Z1" s="77" t="s">
        <v>371</v>
      </c>
      <c r="AA1" s="77" t="s">
        <v>372</v>
      </c>
      <c r="AB1" s="77" t="s">
        <v>373</v>
      </c>
      <c r="AC1" s="77" t="s">
        <v>374</v>
      </c>
      <c r="AD1" s="77" t="s">
        <v>375</v>
      </c>
    </row>
    <row r="2" spans="1:30" x14ac:dyDescent="0.2">
      <c r="A2">
        <v>11</v>
      </c>
      <c r="B2" t="s">
        <v>100</v>
      </c>
      <c r="R2">
        <v>45634</v>
      </c>
    </row>
    <row r="3" spans="1:30" x14ac:dyDescent="0.2">
      <c r="A3">
        <v>12</v>
      </c>
      <c r="B3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7101A-E59A-45A8-BF5D-4A2C30A1219D}">
  <dimension ref="A1:K124"/>
  <sheetViews>
    <sheetView topLeftCell="A44" workbookViewId="0">
      <selection activeCell="C82" sqref="C48:C82"/>
    </sheetView>
  </sheetViews>
  <sheetFormatPr baseColWidth="10" defaultRowHeight="15" x14ac:dyDescent="0.2"/>
  <cols>
    <col min="2" max="2" width="9.83203125" style="9" customWidth="1"/>
    <col min="3" max="3" width="11.5" customWidth="1"/>
    <col min="4" max="4" width="14.33203125" bestFit="1" customWidth="1"/>
    <col min="5" max="5" width="13.5" bestFit="1" customWidth="1"/>
    <col min="6" max="6" width="9.5" bestFit="1" customWidth="1"/>
    <col min="7" max="7" width="14.83203125" bestFit="1" customWidth="1"/>
    <col min="8" max="8" width="107.83203125" bestFit="1" customWidth="1"/>
    <col min="9" max="9" width="10.83203125" bestFit="1" customWidth="1"/>
    <col min="10" max="10" width="53.1640625" bestFit="1" customWidth="1"/>
    <col min="11" max="11" width="89.5" bestFit="1" customWidth="1"/>
  </cols>
  <sheetData>
    <row r="1" spans="1:11" x14ac:dyDescent="0.2">
      <c r="D1" s="12" t="s">
        <v>109</v>
      </c>
      <c r="E1" s="13" t="s">
        <v>110</v>
      </c>
      <c r="F1" s="12"/>
      <c r="I1" s="14" t="s">
        <v>111</v>
      </c>
    </row>
    <row r="2" spans="1:11" x14ac:dyDescent="0.2">
      <c r="C2" t="s">
        <v>112</v>
      </c>
      <c r="D2" s="15" t="s">
        <v>113</v>
      </c>
      <c r="E2" s="16" t="s">
        <v>114</v>
      </c>
      <c r="F2" s="16" t="s">
        <v>115</v>
      </c>
      <c r="G2" s="16" t="s">
        <v>116</v>
      </c>
      <c r="H2" s="16" t="s">
        <v>117</v>
      </c>
      <c r="I2" s="14" t="s">
        <v>118</v>
      </c>
      <c r="J2" s="14" t="s">
        <v>119</v>
      </c>
      <c r="K2" s="14" t="s">
        <v>120</v>
      </c>
    </row>
    <row r="3" spans="1:11" x14ac:dyDescent="0.2">
      <c r="B3" s="17" t="s">
        <v>82</v>
      </c>
      <c r="C3" t="s">
        <v>112</v>
      </c>
      <c r="D3" s="18" t="s">
        <v>121</v>
      </c>
      <c r="E3" s="19" t="s">
        <v>122</v>
      </c>
      <c r="F3" s="19" t="s">
        <v>115</v>
      </c>
      <c r="G3" s="16" t="s">
        <v>116</v>
      </c>
      <c r="H3" s="16" t="s">
        <v>123</v>
      </c>
      <c r="I3" s="14" t="s">
        <v>124</v>
      </c>
      <c r="J3" s="14" t="s">
        <v>125</v>
      </c>
      <c r="K3" s="14" t="s">
        <v>126</v>
      </c>
    </row>
    <row r="4" spans="1:11" x14ac:dyDescent="0.2">
      <c r="A4">
        <v>2024</v>
      </c>
      <c r="B4" s="64" t="s">
        <v>20</v>
      </c>
      <c r="C4" s="20" t="s">
        <v>100</v>
      </c>
      <c r="E4" s="21">
        <v>137</v>
      </c>
      <c r="F4" s="22">
        <v>181</v>
      </c>
      <c r="G4" s="21">
        <v>150</v>
      </c>
      <c r="H4" s="23"/>
      <c r="I4" s="20"/>
      <c r="J4" s="20"/>
      <c r="K4" s="24"/>
    </row>
    <row r="5" spans="1:11" x14ac:dyDescent="0.2">
      <c r="A5">
        <v>2024</v>
      </c>
      <c r="B5" s="64" t="s">
        <v>23</v>
      </c>
      <c r="C5" s="20" t="s">
        <v>100</v>
      </c>
      <c r="E5" s="21">
        <v>116</v>
      </c>
      <c r="F5" s="22">
        <v>179</v>
      </c>
      <c r="G5" s="21">
        <v>169</v>
      </c>
      <c r="H5" s="23"/>
      <c r="I5" s="20"/>
      <c r="J5" s="20"/>
      <c r="K5" s="24"/>
    </row>
    <row r="6" spans="1:11" x14ac:dyDescent="0.2">
      <c r="A6">
        <v>2024</v>
      </c>
      <c r="B6" s="64" t="s">
        <v>26</v>
      </c>
      <c r="C6" s="20" t="s">
        <v>100</v>
      </c>
      <c r="E6" s="21">
        <v>153</v>
      </c>
      <c r="F6" s="22">
        <v>154</v>
      </c>
      <c r="G6" s="21">
        <v>124</v>
      </c>
      <c r="H6" s="23"/>
      <c r="I6" s="20">
        <v>7</v>
      </c>
      <c r="J6" s="20">
        <v>43.5</v>
      </c>
      <c r="K6" s="24"/>
    </row>
    <row r="7" spans="1:11" x14ac:dyDescent="0.2">
      <c r="A7">
        <v>2024</v>
      </c>
      <c r="B7" s="64" t="s">
        <v>27</v>
      </c>
      <c r="C7" s="20" t="s">
        <v>100</v>
      </c>
      <c r="E7" s="21">
        <v>171</v>
      </c>
      <c r="F7" s="22">
        <v>179</v>
      </c>
      <c r="G7" s="21">
        <v>144</v>
      </c>
      <c r="H7" s="23"/>
      <c r="I7" s="20">
        <v>0</v>
      </c>
      <c r="J7" s="20">
        <v>38</v>
      </c>
      <c r="K7" s="24"/>
    </row>
    <row r="8" spans="1:11" x14ac:dyDescent="0.2">
      <c r="A8">
        <v>2024</v>
      </c>
      <c r="B8" s="64" t="s">
        <v>29</v>
      </c>
      <c r="C8" s="20" t="s">
        <v>100</v>
      </c>
      <c r="E8" s="21">
        <v>133</v>
      </c>
      <c r="F8" s="22">
        <v>165</v>
      </c>
      <c r="G8" s="21">
        <v>136</v>
      </c>
      <c r="H8" s="23"/>
      <c r="I8" s="20">
        <v>0</v>
      </c>
      <c r="J8" s="20">
        <v>54</v>
      </c>
      <c r="K8" s="24"/>
    </row>
    <row r="9" spans="1:11" x14ac:dyDescent="0.2">
      <c r="A9">
        <v>2024</v>
      </c>
      <c r="B9" s="65" t="s">
        <v>30</v>
      </c>
      <c r="C9" s="20" t="s">
        <v>100</v>
      </c>
      <c r="E9" s="21">
        <v>146</v>
      </c>
      <c r="F9" s="22">
        <v>167</v>
      </c>
      <c r="G9" s="21">
        <v>126</v>
      </c>
      <c r="H9" s="23"/>
      <c r="I9" s="20">
        <v>0</v>
      </c>
      <c r="J9" s="20">
        <v>63</v>
      </c>
      <c r="K9" s="24"/>
    </row>
    <row r="10" spans="1:11" x14ac:dyDescent="0.2">
      <c r="A10">
        <v>2024</v>
      </c>
      <c r="B10" s="66" t="s">
        <v>34</v>
      </c>
      <c r="C10" s="20" t="s">
        <v>100</v>
      </c>
      <c r="E10" s="21">
        <v>164</v>
      </c>
      <c r="F10" s="22">
        <v>191</v>
      </c>
      <c r="G10" s="21">
        <v>159</v>
      </c>
      <c r="H10" s="23"/>
      <c r="I10" s="20">
        <v>13</v>
      </c>
      <c r="J10" s="20">
        <v>40</v>
      </c>
      <c r="K10" s="24"/>
    </row>
    <row r="11" spans="1:11" x14ac:dyDescent="0.2">
      <c r="A11">
        <v>2024</v>
      </c>
      <c r="B11" s="67" t="s">
        <v>36</v>
      </c>
      <c r="C11" s="20" t="s">
        <v>100</v>
      </c>
      <c r="E11" s="21">
        <v>140</v>
      </c>
      <c r="F11" s="22">
        <v>164</v>
      </c>
      <c r="G11" s="21">
        <v>137</v>
      </c>
      <c r="H11" s="23"/>
      <c r="I11" s="20">
        <v>0</v>
      </c>
      <c r="J11" s="20">
        <v>34</v>
      </c>
      <c r="K11" s="24"/>
    </row>
    <row r="12" spans="1:11" x14ac:dyDescent="0.2">
      <c r="A12">
        <v>2024</v>
      </c>
      <c r="B12" s="64" t="s">
        <v>37</v>
      </c>
      <c r="C12" s="20" t="s">
        <v>100</v>
      </c>
      <c r="E12" s="21">
        <v>167</v>
      </c>
      <c r="F12" s="22">
        <v>159</v>
      </c>
      <c r="G12" s="21">
        <v>118</v>
      </c>
      <c r="H12" s="23"/>
      <c r="I12" s="20">
        <v>14</v>
      </c>
      <c r="J12" s="20">
        <v>37.5</v>
      </c>
      <c r="K12" s="24"/>
    </row>
    <row r="13" spans="1:11" x14ac:dyDescent="0.2">
      <c r="A13">
        <v>2024</v>
      </c>
      <c r="B13" s="64" t="s">
        <v>38</v>
      </c>
      <c r="C13" s="20" t="s">
        <v>100</v>
      </c>
      <c r="E13" s="21">
        <v>131</v>
      </c>
      <c r="F13" s="22">
        <v>191</v>
      </c>
      <c r="G13" s="21">
        <v>164</v>
      </c>
      <c r="H13" s="23"/>
      <c r="I13" s="20">
        <v>5</v>
      </c>
      <c r="J13" s="20">
        <v>36.5</v>
      </c>
      <c r="K13" s="24"/>
    </row>
    <row r="14" spans="1:11" x14ac:dyDescent="0.2">
      <c r="A14">
        <v>2024</v>
      </c>
      <c r="B14" s="64" t="s">
        <v>39</v>
      </c>
      <c r="C14" s="20" t="s">
        <v>100</v>
      </c>
      <c r="E14" s="21">
        <v>146</v>
      </c>
      <c r="F14" s="22">
        <v>136</v>
      </c>
      <c r="G14" s="21">
        <v>110</v>
      </c>
      <c r="H14" s="23"/>
      <c r="I14" s="20"/>
      <c r="J14" s="20"/>
      <c r="K14" s="24"/>
    </row>
    <row r="15" spans="1:11" x14ac:dyDescent="0.2">
      <c r="A15">
        <v>2024</v>
      </c>
      <c r="B15" s="64" t="s">
        <v>43</v>
      </c>
      <c r="C15" s="20" t="s">
        <v>100</v>
      </c>
      <c r="E15" s="21">
        <v>153</v>
      </c>
      <c r="F15" s="22">
        <v>139</v>
      </c>
      <c r="G15" s="21">
        <v>102</v>
      </c>
      <c r="H15" s="23"/>
      <c r="I15" s="20">
        <v>22</v>
      </c>
      <c r="J15" s="20">
        <v>38</v>
      </c>
      <c r="K15" s="24"/>
    </row>
    <row r="16" spans="1:11" x14ac:dyDescent="0.2">
      <c r="A16">
        <v>2024</v>
      </c>
      <c r="B16" s="64" t="s">
        <v>44</v>
      </c>
      <c r="C16" s="20" t="s">
        <v>100</v>
      </c>
      <c r="E16" s="21">
        <v>167</v>
      </c>
      <c r="F16" s="22">
        <v>151</v>
      </c>
      <c r="G16" s="21">
        <v>105</v>
      </c>
      <c r="H16" s="23"/>
      <c r="I16" s="20">
        <v>23</v>
      </c>
      <c r="J16" s="20">
        <v>61</v>
      </c>
      <c r="K16" s="24"/>
    </row>
    <row r="17" spans="1:11" x14ac:dyDescent="0.2">
      <c r="A17">
        <v>2024</v>
      </c>
      <c r="B17" s="68" t="s">
        <v>45</v>
      </c>
      <c r="C17" s="20" t="s">
        <v>100</v>
      </c>
      <c r="E17" s="26">
        <v>121</v>
      </c>
      <c r="F17" s="27">
        <v>135</v>
      </c>
      <c r="G17" s="26">
        <v>116</v>
      </c>
      <c r="H17" s="28" t="s">
        <v>127</v>
      </c>
      <c r="I17" s="29">
        <v>13</v>
      </c>
      <c r="J17" s="29">
        <v>36</v>
      </c>
      <c r="K17" s="30" t="s">
        <v>127</v>
      </c>
    </row>
    <row r="18" spans="1:11" x14ac:dyDescent="0.2">
      <c r="A18">
        <v>2024</v>
      </c>
      <c r="B18" s="64" t="s">
        <v>46</v>
      </c>
      <c r="C18" s="20" t="s">
        <v>100</v>
      </c>
      <c r="E18" s="21">
        <v>118</v>
      </c>
      <c r="F18" s="22">
        <v>148</v>
      </c>
      <c r="G18" s="21">
        <v>126</v>
      </c>
      <c r="H18" s="23"/>
      <c r="I18" s="20">
        <v>17</v>
      </c>
      <c r="J18" s="20">
        <v>42</v>
      </c>
      <c r="K18" s="24"/>
    </row>
    <row r="19" spans="1:11" x14ac:dyDescent="0.2">
      <c r="A19">
        <v>2024</v>
      </c>
      <c r="B19" s="64" t="s">
        <v>47</v>
      </c>
      <c r="C19" s="20" t="s">
        <v>100</v>
      </c>
      <c r="E19" s="21">
        <v>133</v>
      </c>
      <c r="F19" s="22">
        <v>120</v>
      </c>
      <c r="G19" s="21">
        <v>79</v>
      </c>
      <c r="H19" s="23"/>
      <c r="I19" s="20">
        <v>14</v>
      </c>
      <c r="J19" s="20">
        <v>40.5</v>
      </c>
      <c r="K19" s="24"/>
    </row>
    <row r="20" spans="1:11" x14ac:dyDescent="0.2">
      <c r="A20">
        <v>2024</v>
      </c>
      <c r="B20" s="64" t="s">
        <v>48</v>
      </c>
      <c r="C20" s="20" t="s">
        <v>100</v>
      </c>
      <c r="E20" s="21">
        <v>112</v>
      </c>
      <c r="F20" s="22">
        <v>128</v>
      </c>
      <c r="G20" s="21">
        <v>128</v>
      </c>
      <c r="H20" s="23"/>
      <c r="I20" s="20">
        <v>0</v>
      </c>
      <c r="J20" s="20">
        <v>52</v>
      </c>
      <c r="K20" s="24" t="s">
        <v>128</v>
      </c>
    </row>
    <row r="21" spans="1:11" x14ac:dyDescent="0.2">
      <c r="A21">
        <v>2024</v>
      </c>
      <c r="B21" s="64" t="s">
        <v>49</v>
      </c>
      <c r="C21" s="20" t="s">
        <v>100</v>
      </c>
      <c r="E21" s="21">
        <v>151</v>
      </c>
      <c r="F21" s="22">
        <v>146</v>
      </c>
      <c r="G21" s="21">
        <v>109</v>
      </c>
      <c r="H21" s="23"/>
      <c r="I21" s="20">
        <v>7</v>
      </c>
      <c r="J21" s="20">
        <v>36</v>
      </c>
      <c r="K21" s="24"/>
    </row>
    <row r="22" spans="1:11" x14ac:dyDescent="0.2">
      <c r="A22">
        <v>2024</v>
      </c>
      <c r="B22" s="64" t="s">
        <v>50</v>
      </c>
      <c r="C22" s="20" t="s">
        <v>100</v>
      </c>
      <c r="E22" s="21">
        <v>176</v>
      </c>
      <c r="F22" s="22">
        <v>176</v>
      </c>
      <c r="G22" s="21">
        <v>134</v>
      </c>
      <c r="H22" s="23"/>
      <c r="I22" s="20">
        <v>8</v>
      </c>
      <c r="J22" s="20">
        <v>51.5</v>
      </c>
      <c r="K22" s="24"/>
    </row>
    <row r="23" spans="1:11" x14ac:dyDescent="0.2">
      <c r="A23">
        <v>2024</v>
      </c>
      <c r="B23" s="64" t="s">
        <v>51</v>
      </c>
      <c r="C23" s="20" t="s">
        <v>100</v>
      </c>
      <c r="E23" s="21">
        <v>185</v>
      </c>
      <c r="F23" s="22">
        <v>164</v>
      </c>
      <c r="G23" s="21">
        <v>123</v>
      </c>
      <c r="H23" s="23"/>
      <c r="I23" s="20">
        <v>11</v>
      </c>
      <c r="J23" s="20">
        <v>41.5</v>
      </c>
      <c r="K23" s="24"/>
    </row>
    <row r="24" spans="1:11" x14ac:dyDescent="0.2">
      <c r="A24">
        <v>2024</v>
      </c>
      <c r="B24" s="64" t="s">
        <v>53</v>
      </c>
      <c r="C24" s="20" t="s">
        <v>100</v>
      </c>
      <c r="E24" s="21">
        <v>151</v>
      </c>
      <c r="F24" s="22">
        <v>120</v>
      </c>
      <c r="G24" s="21">
        <v>70</v>
      </c>
      <c r="H24" s="23"/>
      <c r="I24" s="20">
        <v>0</v>
      </c>
      <c r="J24" s="20">
        <v>52</v>
      </c>
      <c r="K24" s="24"/>
    </row>
    <row r="25" spans="1:11" x14ac:dyDescent="0.2">
      <c r="A25">
        <v>2024</v>
      </c>
      <c r="B25" s="64" t="s">
        <v>54</v>
      </c>
      <c r="C25" s="20" t="s">
        <v>100</v>
      </c>
      <c r="E25" s="21">
        <v>181</v>
      </c>
      <c r="F25" s="22">
        <v>182</v>
      </c>
      <c r="G25" s="21">
        <v>145</v>
      </c>
      <c r="H25" s="23"/>
      <c r="I25" s="20">
        <v>0</v>
      </c>
      <c r="J25" s="20">
        <v>47</v>
      </c>
      <c r="K25" s="24"/>
    </row>
    <row r="26" spans="1:11" x14ac:dyDescent="0.2">
      <c r="A26">
        <v>2024</v>
      </c>
      <c r="B26" s="64" t="s">
        <v>55</v>
      </c>
      <c r="C26" s="20" t="s">
        <v>100</v>
      </c>
      <c r="E26" s="21">
        <v>167</v>
      </c>
      <c r="F26" s="22">
        <v>177</v>
      </c>
      <c r="G26" s="21">
        <v>153</v>
      </c>
      <c r="H26" s="23"/>
      <c r="I26" s="20">
        <v>0</v>
      </c>
      <c r="J26" s="20">
        <v>42</v>
      </c>
      <c r="K26" s="24"/>
    </row>
    <row r="27" spans="1:11" x14ac:dyDescent="0.2">
      <c r="A27">
        <v>2024</v>
      </c>
      <c r="B27" s="64" t="s">
        <v>56</v>
      </c>
      <c r="C27" s="20" t="s">
        <v>100</v>
      </c>
      <c r="E27" s="21">
        <v>64</v>
      </c>
      <c r="F27" s="22">
        <v>127</v>
      </c>
      <c r="G27" s="21">
        <v>109</v>
      </c>
      <c r="H27" s="23"/>
      <c r="I27" s="20">
        <v>16</v>
      </c>
      <c r="J27" s="20">
        <v>41</v>
      </c>
      <c r="K27" s="24" t="s">
        <v>129</v>
      </c>
    </row>
    <row r="28" spans="1:11" x14ac:dyDescent="0.2">
      <c r="A28">
        <v>2024</v>
      </c>
      <c r="B28" s="64" t="s">
        <v>57</v>
      </c>
      <c r="C28" s="20" t="s">
        <v>100</v>
      </c>
      <c r="E28" s="21">
        <v>140</v>
      </c>
      <c r="F28" s="22">
        <v>132</v>
      </c>
      <c r="G28" s="21">
        <v>111</v>
      </c>
      <c r="H28" s="23"/>
      <c r="I28" s="20">
        <v>20</v>
      </c>
      <c r="J28" s="20">
        <v>50</v>
      </c>
      <c r="K28" s="24"/>
    </row>
    <row r="29" spans="1:11" x14ac:dyDescent="0.2">
      <c r="A29">
        <v>2024</v>
      </c>
      <c r="B29" s="64" t="s">
        <v>58</v>
      </c>
      <c r="C29" s="20" t="s">
        <v>100</v>
      </c>
      <c r="E29" s="21">
        <v>139</v>
      </c>
      <c r="F29" s="22">
        <v>155</v>
      </c>
      <c r="G29" s="21">
        <v>145</v>
      </c>
      <c r="H29" s="23"/>
      <c r="I29" s="20">
        <v>1</v>
      </c>
      <c r="J29" s="20">
        <v>40</v>
      </c>
      <c r="K29" s="24"/>
    </row>
    <row r="30" spans="1:11" x14ac:dyDescent="0.2">
      <c r="A30">
        <v>2024</v>
      </c>
      <c r="B30" s="68" t="s">
        <v>59</v>
      </c>
      <c r="C30" s="20" t="s">
        <v>100</v>
      </c>
      <c r="E30" s="26">
        <v>122</v>
      </c>
      <c r="F30" s="27">
        <v>166</v>
      </c>
      <c r="G30" s="26">
        <v>129</v>
      </c>
      <c r="H30" s="28" t="s">
        <v>127</v>
      </c>
      <c r="I30" s="29">
        <v>22</v>
      </c>
      <c r="J30" s="29">
        <v>46</v>
      </c>
      <c r="K30" s="30" t="s">
        <v>127</v>
      </c>
    </row>
    <row r="31" spans="1:11" x14ac:dyDescent="0.2">
      <c r="A31">
        <v>2024</v>
      </c>
      <c r="B31" s="64" t="s">
        <v>60</v>
      </c>
      <c r="C31" s="20" t="s">
        <v>100</v>
      </c>
      <c r="E31" s="21">
        <v>114</v>
      </c>
      <c r="F31" s="22">
        <v>149</v>
      </c>
      <c r="G31" s="21">
        <v>126</v>
      </c>
      <c r="H31" s="23"/>
      <c r="I31" s="20">
        <v>19</v>
      </c>
      <c r="J31" s="20">
        <v>35</v>
      </c>
      <c r="K31" s="24" t="s">
        <v>130</v>
      </c>
    </row>
    <row r="32" spans="1:11" x14ac:dyDescent="0.2">
      <c r="A32">
        <v>2024</v>
      </c>
      <c r="B32" s="64" t="s">
        <v>61</v>
      </c>
      <c r="C32" s="20" t="s">
        <v>100</v>
      </c>
      <c r="E32" s="21">
        <v>69</v>
      </c>
      <c r="F32" s="22">
        <v>127</v>
      </c>
      <c r="G32" s="21">
        <v>110</v>
      </c>
      <c r="H32" s="23"/>
      <c r="I32" s="20">
        <v>0</v>
      </c>
      <c r="J32" s="20">
        <v>40</v>
      </c>
      <c r="K32" s="24"/>
    </row>
    <row r="33" spans="1:11" x14ac:dyDescent="0.2">
      <c r="A33">
        <v>2024</v>
      </c>
      <c r="B33" s="64" t="s">
        <v>62</v>
      </c>
      <c r="C33" s="20" t="s">
        <v>100</v>
      </c>
      <c r="E33" s="31">
        <v>128</v>
      </c>
      <c r="F33" s="22">
        <v>145</v>
      </c>
      <c r="G33" s="31"/>
      <c r="H33" s="32"/>
      <c r="I33" s="20">
        <v>0</v>
      </c>
      <c r="J33" s="20">
        <v>48.5</v>
      </c>
      <c r="K33" s="20"/>
    </row>
    <row r="34" spans="1:11" x14ac:dyDescent="0.2">
      <c r="A34">
        <v>2024</v>
      </c>
      <c r="B34" s="69" t="s">
        <v>64</v>
      </c>
      <c r="C34" s="20" t="s">
        <v>100</v>
      </c>
      <c r="E34" s="33">
        <v>99</v>
      </c>
      <c r="F34" s="27">
        <v>129</v>
      </c>
      <c r="G34" s="34">
        <v>112</v>
      </c>
      <c r="H34" s="35" t="s">
        <v>127</v>
      </c>
      <c r="I34" s="29">
        <v>2</v>
      </c>
      <c r="J34" s="29">
        <v>40</v>
      </c>
      <c r="K34" s="29" t="s">
        <v>127</v>
      </c>
    </row>
    <row r="35" spans="1:11" x14ac:dyDescent="0.2">
      <c r="A35">
        <v>2024</v>
      </c>
      <c r="B35" s="64" t="s">
        <v>66</v>
      </c>
      <c r="C35" s="20" t="s">
        <v>100</v>
      </c>
      <c r="E35" s="36">
        <v>145</v>
      </c>
      <c r="F35" s="22">
        <v>153</v>
      </c>
      <c r="G35" s="31">
        <v>136</v>
      </c>
      <c r="H35" s="32"/>
      <c r="I35" s="20">
        <v>0</v>
      </c>
      <c r="J35" s="20">
        <v>38</v>
      </c>
      <c r="K35" s="20"/>
    </row>
    <row r="36" spans="1:11" x14ac:dyDescent="0.2">
      <c r="A36">
        <v>2024</v>
      </c>
      <c r="B36" s="64" t="s">
        <v>67</v>
      </c>
      <c r="C36" s="20" t="s">
        <v>100</v>
      </c>
      <c r="E36" s="36">
        <v>78</v>
      </c>
      <c r="F36" s="22">
        <v>138</v>
      </c>
      <c r="G36" s="31">
        <v>103</v>
      </c>
      <c r="H36" s="32" t="s">
        <v>131</v>
      </c>
      <c r="I36" s="20">
        <v>19</v>
      </c>
      <c r="J36" s="20">
        <v>32</v>
      </c>
      <c r="K36" s="20" t="s">
        <v>132</v>
      </c>
    </row>
    <row r="37" spans="1:11" x14ac:dyDescent="0.2">
      <c r="A37">
        <v>2024</v>
      </c>
      <c r="B37" s="64" t="s">
        <v>68</v>
      </c>
      <c r="C37" s="20" t="s">
        <v>100</v>
      </c>
      <c r="E37" s="36">
        <v>139</v>
      </c>
      <c r="F37" s="22">
        <v>157</v>
      </c>
      <c r="G37" s="31">
        <v>115</v>
      </c>
      <c r="H37" s="32"/>
      <c r="I37" s="20">
        <v>26</v>
      </c>
      <c r="J37" s="20">
        <v>43</v>
      </c>
      <c r="K37" s="20"/>
    </row>
    <row r="38" spans="1:11" x14ac:dyDescent="0.2">
      <c r="A38">
        <v>2024</v>
      </c>
      <c r="B38" s="64" t="s">
        <v>69</v>
      </c>
      <c r="C38" s="20" t="s">
        <v>100</v>
      </c>
      <c r="E38" s="36">
        <v>129</v>
      </c>
      <c r="F38" s="22">
        <v>145</v>
      </c>
      <c r="G38" s="31">
        <v>124</v>
      </c>
      <c r="H38" s="32"/>
      <c r="I38" s="20">
        <v>0</v>
      </c>
      <c r="J38" s="20">
        <v>31</v>
      </c>
      <c r="K38" s="20"/>
    </row>
    <row r="39" spans="1:11" x14ac:dyDescent="0.2">
      <c r="A39">
        <v>2024</v>
      </c>
      <c r="B39" s="64" t="s">
        <v>70</v>
      </c>
      <c r="C39" s="20" t="s">
        <v>100</v>
      </c>
      <c r="E39" s="36">
        <v>120</v>
      </c>
      <c r="F39" s="22">
        <v>123</v>
      </c>
      <c r="G39" s="31">
        <v>91</v>
      </c>
      <c r="H39" s="32"/>
      <c r="I39" s="20">
        <v>0</v>
      </c>
      <c r="J39" s="20">
        <v>44</v>
      </c>
      <c r="K39" s="20"/>
    </row>
    <row r="40" spans="1:11" x14ac:dyDescent="0.2">
      <c r="A40">
        <v>2024</v>
      </c>
      <c r="B40" s="64" t="s">
        <v>72</v>
      </c>
      <c r="C40" s="20" t="s">
        <v>100</v>
      </c>
      <c r="E40" s="37">
        <v>167</v>
      </c>
      <c r="F40" s="22">
        <v>154</v>
      </c>
      <c r="G40" s="21">
        <v>96</v>
      </c>
      <c r="H40" s="23"/>
      <c r="I40" s="20">
        <v>13</v>
      </c>
      <c r="J40" s="20">
        <v>43</v>
      </c>
      <c r="K40" s="24"/>
    </row>
    <row r="41" spans="1:11" x14ac:dyDescent="0.2">
      <c r="A41">
        <v>2024</v>
      </c>
      <c r="B41" s="64" t="s">
        <v>73</v>
      </c>
      <c r="C41" s="20" t="s">
        <v>100</v>
      </c>
      <c r="E41" s="37">
        <v>68</v>
      </c>
      <c r="F41" s="22">
        <v>97</v>
      </c>
      <c r="G41" s="21">
        <v>72</v>
      </c>
      <c r="H41" s="23"/>
      <c r="I41" s="20">
        <v>2</v>
      </c>
      <c r="J41" s="20">
        <v>35</v>
      </c>
      <c r="K41" s="24"/>
    </row>
    <row r="42" spans="1:11" x14ac:dyDescent="0.2">
      <c r="A42">
        <v>2024</v>
      </c>
      <c r="B42" s="64" t="s">
        <v>74</v>
      </c>
      <c r="C42" s="20" t="s">
        <v>100</v>
      </c>
      <c r="E42" s="37">
        <v>179</v>
      </c>
      <c r="F42" s="22">
        <v>178</v>
      </c>
      <c r="G42" s="21">
        <v>139</v>
      </c>
      <c r="H42" s="23"/>
      <c r="I42" s="20">
        <v>0</v>
      </c>
      <c r="J42" s="20">
        <v>42</v>
      </c>
      <c r="K42" s="24" t="s">
        <v>133</v>
      </c>
    </row>
    <row r="43" spans="1:11" x14ac:dyDescent="0.2">
      <c r="A43">
        <v>2024</v>
      </c>
      <c r="B43" s="64" t="s">
        <v>76</v>
      </c>
      <c r="C43" s="20" t="s">
        <v>100</v>
      </c>
      <c r="E43" s="37">
        <v>211</v>
      </c>
      <c r="F43" s="22">
        <v>169</v>
      </c>
      <c r="G43" s="21">
        <v>127</v>
      </c>
      <c r="H43" s="23"/>
      <c r="I43" s="20">
        <v>30</v>
      </c>
      <c r="J43" s="20">
        <v>52</v>
      </c>
      <c r="K43" s="24"/>
    </row>
    <row r="44" spans="1:11" x14ac:dyDescent="0.2">
      <c r="A44">
        <v>2024</v>
      </c>
      <c r="B44" s="64" t="s">
        <v>77</v>
      </c>
      <c r="C44" s="20" t="s">
        <v>100</v>
      </c>
      <c r="E44" s="37">
        <v>179</v>
      </c>
      <c r="F44" s="22">
        <v>163</v>
      </c>
      <c r="G44" s="21">
        <v>136</v>
      </c>
      <c r="H44" s="23"/>
      <c r="I44" s="20">
        <v>5</v>
      </c>
      <c r="J44" s="20">
        <v>41</v>
      </c>
      <c r="K44" s="24"/>
    </row>
    <row r="45" spans="1:11" x14ac:dyDescent="0.2">
      <c r="A45">
        <v>2024</v>
      </c>
      <c r="B45" s="64" t="s">
        <v>78</v>
      </c>
      <c r="C45" s="20" t="s">
        <v>100</v>
      </c>
      <c r="E45" s="37">
        <v>190</v>
      </c>
      <c r="F45" s="22">
        <v>162</v>
      </c>
      <c r="G45" s="21">
        <v>127</v>
      </c>
      <c r="H45" s="23"/>
      <c r="I45" s="20">
        <v>4</v>
      </c>
      <c r="J45" s="20">
        <v>39</v>
      </c>
      <c r="K45" s="24"/>
    </row>
    <row r="46" spans="1:11" x14ac:dyDescent="0.2">
      <c r="A46">
        <v>2024</v>
      </c>
      <c r="B46" s="64" t="s">
        <v>79</v>
      </c>
      <c r="C46" s="20" t="s">
        <v>100</v>
      </c>
      <c r="E46" s="37">
        <v>150</v>
      </c>
      <c r="F46" s="22">
        <v>165</v>
      </c>
      <c r="G46" s="21">
        <v>128</v>
      </c>
      <c r="H46" s="23"/>
      <c r="I46" s="20">
        <v>15</v>
      </c>
      <c r="J46" s="20">
        <v>39</v>
      </c>
      <c r="K46" s="24"/>
    </row>
    <row r="47" spans="1:11" x14ac:dyDescent="0.2">
      <c r="A47">
        <v>2024</v>
      </c>
      <c r="B47" s="64" t="s">
        <v>80</v>
      </c>
      <c r="C47" s="20" t="s">
        <v>100</v>
      </c>
      <c r="E47" s="43">
        <v>116</v>
      </c>
      <c r="F47" s="43">
        <v>140</v>
      </c>
      <c r="G47" s="43">
        <v>84</v>
      </c>
      <c r="H47" t="s">
        <v>340</v>
      </c>
      <c r="I47" s="20">
        <v>78</v>
      </c>
      <c r="J47" s="20">
        <v>45</v>
      </c>
      <c r="K47" s="25" t="s">
        <v>341</v>
      </c>
    </row>
    <row r="48" spans="1:11" x14ac:dyDescent="0.2">
      <c r="A48">
        <v>2024</v>
      </c>
      <c r="B48" s="70" t="s">
        <v>23</v>
      </c>
      <c r="C48" s="8" t="s">
        <v>104</v>
      </c>
      <c r="D48" s="38">
        <v>45638</v>
      </c>
      <c r="E48" s="20">
        <v>130</v>
      </c>
      <c r="F48" s="20">
        <v>156</v>
      </c>
      <c r="G48" s="20">
        <v>136</v>
      </c>
      <c r="H48" s="20"/>
      <c r="I48" s="20">
        <v>16</v>
      </c>
      <c r="J48" s="20" t="s">
        <v>134</v>
      </c>
      <c r="K48" s="20"/>
    </row>
    <row r="49" spans="1:11" x14ac:dyDescent="0.2">
      <c r="A49">
        <v>2024</v>
      </c>
      <c r="B49" s="70" t="s">
        <v>26</v>
      </c>
      <c r="C49" s="8" t="s">
        <v>104</v>
      </c>
      <c r="D49" s="38">
        <v>45632</v>
      </c>
      <c r="E49" s="20">
        <v>163</v>
      </c>
      <c r="F49" s="20">
        <v>156</v>
      </c>
      <c r="G49" s="20">
        <v>124</v>
      </c>
      <c r="H49" s="20"/>
      <c r="I49" s="20">
        <v>16</v>
      </c>
      <c r="J49" s="20" t="s">
        <v>135</v>
      </c>
      <c r="K49" s="20"/>
    </row>
    <row r="50" spans="1:11" x14ac:dyDescent="0.2">
      <c r="A50">
        <v>2024</v>
      </c>
      <c r="B50" s="70" t="s">
        <v>27</v>
      </c>
      <c r="C50" s="8" t="s">
        <v>104</v>
      </c>
      <c r="D50" s="38">
        <v>45638</v>
      </c>
      <c r="E50" s="20">
        <v>194</v>
      </c>
      <c r="F50" s="20">
        <v>146</v>
      </c>
      <c r="G50" s="20">
        <v>135</v>
      </c>
      <c r="H50" s="20"/>
      <c r="I50" s="20">
        <v>13</v>
      </c>
      <c r="J50" s="20" t="s">
        <v>135</v>
      </c>
      <c r="K50" s="20" t="s">
        <v>136</v>
      </c>
    </row>
    <row r="51" spans="1:11" x14ac:dyDescent="0.2">
      <c r="A51">
        <v>2024</v>
      </c>
      <c r="B51" s="70" t="s">
        <v>30</v>
      </c>
      <c r="C51" s="8" t="s">
        <v>104</v>
      </c>
      <c r="D51" s="38">
        <v>45631</v>
      </c>
      <c r="E51" s="20">
        <v>174</v>
      </c>
      <c r="F51" s="20">
        <v>175</v>
      </c>
      <c r="G51" s="20">
        <v>136</v>
      </c>
      <c r="H51" s="20"/>
      <c r="I51" s="20">
        <v>3</v>
      </c>
      <c r="J51" s="20" t="s">
        <v>135</v>
      </c>
      <c r="K51" s="20"/>
    </row>
    <row r="52" spans="1:11" x14ac:dyDescent="0.2">
      <c r="A52">
        <v>2024</v>
      </c>
      <c r="B52" s="70" t="s">
        <v>34</v>
      </c>
      <c r="C52" s="8" t="s">
        <v>104</v>
      </c>
      <c r="D52" s="38">
        <v>45632</v>
      </c>
      <c r="E52" s="20">
        <v>183</v>
      </c>
      <c r="F52" s="20">
        <v>188</v>
      </c>
      <c r="G52" s="20">
        <v>155</v>
      </c>
      <c r="H52" s="20"/>
      <c r="I52" s="20">
        <v>17</v>
      </c>
      <c r="J52" s="20" t="s">
        <v>135</v>
      </c>
      <c r="K52" s="20"/>
    </row>
    <row r="53" spans="1:11" x14ac:dyDescent="0.2">
      <c r="A53">
        <v>2024</v>
      </c>
      <c r="B53" s="70" t="s">
        <v>34</v>
      </c>
      <c r="C53" s="8" t="s">
        <v>104</v>
      </c>
      <c r="D53" s="38">
        <v>45639</v>
      </c>
      <c r="E53" s="20">
        <v>103</v>
      </c>
      <c r="F53" s="20">
        <v>127</v>
      </c>
      <c r="G53" s="20">
        <v>106</v>
      </c>
      <c r="H53" s="20"/>
      <c r="I53" s="20">
        <v>11</v>
      </c>
      <c r="J53" s="20" t="s">
        <v>135</v>
      </c>
      <c r="K53" s="20"/>
    </row>
    <row r="54" spans="1:11" x14ac:dyDescent="0.2">
      <c r="A54">
        <v>2024</v>
      </c>
      <c r="B54" s="70" t="s">
        <v>36</v>
      </c>
      <c r="C54" s="8" t="s">
        <v>104</v>
      </c>
      <c r="D54" s="38">
        <v>45637</v>
      </c>
      <c r="E54" s="20">
        <v>167</v>
      </c>
      <c r="F54" s="20">
        <v>170</v>
      </c>
      <c r="G54" s="20">
        <v>150</v>
      </c>
      <c r="H54" s="20"/>
      <c r="I54" s="20">
        <v>7</v>
      </c>
      <c r="J54" s="20" t="s">
        <v>135</v>
      </c>
      <c r="K54" s="20" t="s">
        <v>137</v>
      </c>
    </row>
    <row r="55" spans="1:11" x14ac:dyDescent="0.2">
      <c r="A55">
        <v>2024</v>
      </c>
      <c r="B55" s="70" t="s">
        <v>37</v>
      </c>
      <c r="C55" s="8" t="s">
        <v>104</v>
      </c>
      <c r="D55" s="38">
        <v>46011</v>
      </c>
      <c r="E55" s="20">
        <v>181</v>
      </c>
      <c r="F55" s="20">
        <v>158</v>
      </c>
      <c r="G55" s="20">
        <v>168</v>
      </c>
      <c r="H55" s="8"/>
      <c r="I55" s="20">
        <v>38</v>
      </c>
      <c r="J55" s="20">
        <v>37.5</v>
      </c>
      <c r="K55" s="8"/>
    </row>
    <row r="56" spans="1:11" x14ac:dyDescent="0.2">
      <c r="A56">
        <v>2024</v>
      </c>
      <c r="B56" s="70" t="s">
        <v>38</v>
      </c>
      <c r="C56" s="8" t="s">
        <v>104</v>
      </c>
      <c r="D56" s="38">
        <v>45644</v>
      </c>
      <c r="E56" s="20">
        <v>159</v>
      </c>
      <c r="F56" s="20">
        <v>190</v>
      </c>
      <c r="G56" s="20">
        <v>162</v>
      </c>
      <c r="H56" s="20"/>
      <c r="I56" s="20">
        <v>3</v>
      </c>
      <c r="J56" s="20" t="s">
        <v>135</v>
      </c>
      <c r="K56" s="20"/>
    </row>
    <row r="57" spans="1:11" x14ac:dyDescent="0.2">
      <c r="A57">
        <v>2024</v>
      </c>
      <c r="B57" s="70" t="s">
        <v>39</v>
      </c>
      <c r="C57" s="8" t="s">
        <v>104</v>
      </c>
      <c r="D57" s="38">
        <v>45644</v>
      </c>
      <c r="E57" s="20"/>
      <c r="F57" s="20"/>
      <c r="G57" s="20"/>
      <c r="H57" s="20" t="s">
        <v>138</v>
      </c>
      <c r="I57" s="20">
        <v>27</v>
      </c>
      <c r="J57" s="20">
        <v>51</v>
      </c>
      <c r="K57" s="20" t="s">
        <v>139</v>
      </c>
    </row>
    <row r="58" spans="1:11" x14ac:dyDescent="0.2">
      <c r="A58">
        <v>2024</v>
      </c>
      <c r="B58" s="70" t="s">
        <v>43</v>
      </c>
      <c r="C58" s="8" t="s">
        <v>104</v>
      </c>
      <c r="D58" s="38">
        <v>45639</v>
      </c>
      <c r="E58" s="20">
        <v>170</v>
      </c>
      <c r="F58" s="20">
        <v>145</v>
      </c>
      <c r="G58" s="20">
        <v>110</v>
      </c>
      <c r="H58" s="20"/>
      <c r="I58" s="20">
        <v>27</v>
      </c>
      <c r="J58" s="20" t="s">
        <v>135</v>
      </c>
      <c r="K58" s="20"/>
    </row>
    <row r="59" spans="1:11" x14ac:dyDescent="0.2">
      <c r="A59">
        <v>2024</v>
      </c>
      <c r="B59" s="70" t="s">
        <v>44</v>
      </c>
      <c r="C59" s="8" t="s">
        <v>104</v>
      </c>
      <c r="D59" s="38">
        <v>45639</v>
      </c>
      <c r="E59" s="20">
        <v>186</v>
      </c>
      <c r="F59" s="20">
        <v>155</v>
      </c>
      <c r="G59" s="20">
        <v>114</v>
      </c>
      <c r="H59" s="20"/>
      <c r="I59" s="20">
        <v>26</v>
      </c>
      <c r="J59" s="20" t="s">
        <v>135</v>
      </c>
      <c r="K59" s="20"/>
    </row>
    <row r="60" spans="1:11" x14ac:dyDescent="0.2">
      <c r="A60">
        <v>2024</v>
      </c>
      <c r="B60" s="70" t="s">
        <v>45</v>
      </c>
      <c r="C60" s="8" t="s">
        <v>104</v>
      </c>
      <c r="D60" s="38">
        <v>45636</v>
      </c>
      <c r="E60" s="20">
        <v>143</v>
      </c>
      <c r="F60" s="20">
        <v>138</v>
      </c>
      <c r="G60" s="20">
        <v>115</v>
      </c>
      <c r="H60" s="20"/>
      <c r="I60" s="20">
        <v>30</v>
      </c>
      <c r="J60" s="20" t="s">
        <v>135</v>
      </c>
      <c r="K60" s="20"/>
    </row>
    <row r="61" spans="1:11" x14ac:dyDescent="0.2">
      <c r="A61">
        <v>2024</v>
      </c>
      <c r="B61" s="70" t="s">
        <v>46</v>
      </c>
      <c r="C61" s="8" t="s">
        <v>104</v>
      </c>
      <c r="D61" s="38">
        <v>45639</v>
      </c>
      <c r="E61" s="20">
        <v>173</v>
      </c>
      <c r="F61" s="20">
        <v>180</v>
      </c>
      <c r="G61" s="20">
        <v>120</v>
      </c>
      <c r="H61" s="20" t="s">
        <v>140</v>
      </c>
      <c r="I61" s="20">
        <v>26</v>
      </c>
      <c r="J61" s="20" t="s">
        <v>135</v>
      </c>
      <c r="K61" s="20"/>
    </row>
    <row r="62" spans="1:11" x14ac:dyDescent="0.2">
      <c r="A62">
        <v>2024</v>
      </c>
      <c r="B62" s="70" t="s">
        <v>47</v>
      </c>
      <c r="C62" s="8" t="s">
        <v>104</v>
      </c>
      <c r="D62" s="38">
        <v>45637</v>
      </c>
      <c r="E62" s="20">
        <v>175</v>
      </c>
      <c r="F62" s="20">
        <v>130</v>
      </c>
      <c r="G62" s="20">
        <v>83</v>
      </c>
      <c r="H62" s="20"/>
      <c r="I62" s="20">
        <v>23</v>
      </c>
      <c r="J62" s="20" t="s">
        <v>135</v>
      </c>
      <c r="K62" s="20"/>
    </row>
    <row r="63" spans="1:11" x14ac:dyDescent="0.2">
      <c r="A63">
        <v>2024</v>
      </c>
      <c r="B63" s="70" t="s">
        <v>49</v>
      </c>
      <c r="C63" s="8" t="s">
        <v>104</v>
      </c>
      <c r="D63" s="38">
        <v>45632</v>
      </c>
      <c r="E63" s="20">
        <v>180</v>
      </c>
      <c r="F63" s="20">
        <v>148</v>
      </c>
      <c r="G63" s="20">
        <v>122</v>
      </c>
      <c r="H63" s="20"/>
      <c r="I63" s="20">
        <v>24</v>
      </c>
      <c r="J63" s="20" t="s">
        <v>135</v>
      </c>
      <c r="K63" s="20"/>
    </row>
    <row r="64" spans="1:11" x14ac:dyDescent="0.2">
      <c r="A64">
        <v>2024</v>
      </c>
      <c r="B64" s="70" t="s">
        <v>51</v>
      </c>
      <c r="C64" s="8" t="s">
        <v>104</v>
      </c>
      <c r="D64" s="38">
        <v>45631</v>
      </c>
      <c r="E64" s="20">
        <v>195</v>
      </c>
      <c r="F64" s="20">
        <v>169</v>
      </c>
      <c r="G64" s="20">
        <v>136</v>
      </c>
      <c r="H64" s="20"/>
      <c r="I64" s="20">
        <v>29</v>
      </c>
      <c r="J64" s="20" t="s">
        <v>135</v>
      </c>
      <c r="K64" s="20"/>
    </row>
    <row r="65" spans="1:11" x14ac:dyDescent="0.2">
      <c r="A65">
        <v>2024</v>
      </c>
      <c r="B65" s="70" t="s">
        <v>53</v>
      </c>
      <c r="C65" s="8" t="s">
        <v>104</v>
      </c>
      <c r="D65" s="38">
        <v>45636</v>
      </c>
      <c r="E65" s="20">
        <v>151</v>
      </c>
      <c r="F65" s="20">
        <v>100</v>
      </c>
      <c r="G65" s="20">
        <v>60</v>
      </c>
      <c r="H65" s="20" t="s">
        <v>141</v>
      </c>
      <c r="I65" s="20">
        <v>0</v>
      </c>
      <c r="J65" s="20" t="s">
        <v>135</v>
      </c>
      <c r="K65" s="20" t="s">
        <v>142</v>
      </c>
    </row>
    <row r="66" spans="1:11" x14ac:dyDescent="0.2">
      <c r="A66">
        <v>2024</v>
      </c>
      <c r="B66" s="70" t="s">
        <v>55</v>
      </c>
      <c r="C66" s="8" t="s">
        <v>104</v>
      </c>
      <c r="D66" s="38">
        <v>45636</v>
      </c>
      <c r="E66" s="20">
        <v>194</v>
      </c>
      <c r="F66" s="20">
        <v>175</v>
      </c>
      <c r="G66" s="20">
        <v>144</v>
      </c>
      <c r="H66" s="20"/>
      <c r="I66" s="20">
        <v>13</v>
      </c>
      <c r="J66" s="20" t="s">
        <v>135</v>
      </c>
      <c r="K66" s="20"/>
    </row>
    <row r="67" spans="1:11" x14ac:dyDescent="0.2">
      <c r="A67">
        <v>2024</v>
      </c>
      <c r="B67" s="70" t="s">
        <v>56</v>
      </c>
      <c r="C67" s="8" t="s">
        <v>104</v>
      </c>
      <c r="D67" s="38">
        <v>45636</v>
      </c>
      <c r="E67" s="20">
        <v>82</v>
      </c>
      <c r="F67" s="20">
        <v>126</v>
      </c>
      <c r="G67" s="20">
        <v>111</v>
      </c>
      <c r="H67" s="20"/>
      <c r="I67" s="20">
        <v>56</v>
      </c>
      <c r="J67" s="20" t="s">
        <v>135</v>
      </c>
      <c r="K67" s="20"/>
    </row>
    <row r="68" spans="1:11" x14ac:dyDescent="0.2">
      <c r="A68">
        <v>2024</v>
      </c>
      <c r="B68" s="70" t="s">
        <v>57</v>
      </c>
      <c r="C68" s="8" t="s">
        <v>104</v>
      </c>
      <c r="D68" s="38">
        <v>45637</v>
      </c>
      <c r="E68" s="20">
        <v>154</v>
      </c>
      <c r="F68" s="20">
        <v>115</v>
      </c>
      <c r="G68" s="20">
        <v>100</v>
      </c>
      <c r="H68" s="20"/>
      <c r="I68" s="20">
        <v>30</v>
      </c>
      <c r="J68" s="20" t="s">
        <v>135</v>
      </c>
      <c r="K68" s="20" t="s">
        <v>143</v>
      </c>
    </row>
    <row r="69" spans="1:11" x14ac:dyDescent="0.2">
      <c r="A69">
        <v>2024</v>
      </c>
      <c r="B69" s="70" t="s">
        <v>58</v>
      </c>
      <c r="C69" s="8" t="s">
        <v>104</v>
      </c>
      <c r="D69" s="38">
        <v>45638</v>
      </c>
      <c r="E69" s="20">
        <v>165</v>
      </c>
      <c r="F69" s="20">
        <v>112</v>
      </c>
      <c r="G69" s="20">
        <v>98</v>
      </c>
      <c r="H69" s="20" t="s">
        <v>144</v>
      </c>
      <c r="I69" s="20">
        <v>20</v>
      </c>
      <c r="J69" s="20" t="s">
        <v>135</v>
      </c>
      <c r="K69" s="20"/>
    </row>
    <row r="70" spans="1:11" x14ac:dyDescent="0.2">
      <c r="A70">
        <v>2024</v>
      </c>
      <c r="B70" s="70" t="s">
        <v>61</v>
      </c>
      <c r="C70" s="8" t="s">
        <v>104</v>
      </c>
      <c r="D70" s="38">
        <v>45637</v>
      </c>
      <c r="E70" s="20">
        <v>121</v>
      </c>
      <c r="F70" s="20">
        <v>153</v>
      </c>
      <c r="G70" s="20">
        <v>125</v>
      </c>
      <c r="H70" s="20"/>
      <c r="I70" s="20">
        <v>7</v>
      </c>
      <c r="J70" s="20" t="s">
        <v>135</v>
      </c>
      <c r="K70" s="20"/>
    </row>
    <row r="71" spans="1:11" x14ac:dyDescent="0.2">
      <c r="A71">
        <v>2024</v>
      </c>
      <c r="B71" s="70" t="s">
        <v>62</v>
      </c>
      <c r="C71" s="8" t="s">
        <v>104</v>
      </c>
      <c r="D71" s="38">
        <v>45644</v>
      </c>
      <c r="E71" s="20">
        <v>133</v>
      </c>
      <c r="F71" s="20">
        <v>144</v>
      </c>
      <c r="G71" s="20">
        <v>115</v>
      </c>
      <c r="H71" s="20"/>
      <c r="I71" s="20">
        <v>0</v>
      </c>
      <c r="J71" s="20" t="s">
        <v>135</v>
      </c>
      <c r="K71" s="20" t="s">
        <v>145</v>
      </c>
    </row>
    <row r="72" spans="1:11" x14ac:dyDescent="0.2">
      <c r="A72">
        <v>2024</v>
      </c>
      <c r="B72" s="70" t="s">
        <v>64</v>
      </c>
      <c r="C72" s="8" t="s">
        <v>104</v>
      </c>
      <c r="D72" s="38">
        <v>45636</v>
      </c>
      <c r="E72" s="20">
        <v>133</v>
      </c>
      <c r="F72" s="20">
        <v>153</v>
      </c>
      <c r="G72" s="20">
        <v>126</v>
      </c>
      <c r="H72" s="20"/>
      <c r="I72" s="20">
        <v>23</v>
      </c>
      <c r="J72" s="20" t="s">
        <v>135</v>
      </c>
      <c r="K72" s="20" t="s">
        <v>146</v>
      </c>
    </row>
    <row r="73" spans="1:11" x14ac:dyDescent="0.2">
      <c r="A73">
        <v>2024</v>
      </c>
      <c r="B73" s="70" t="s">
        <v>67</v>
      </c>
      <c r="C73" s="8" t="s">
        <v>104</v>
      </c>
      <c r="D73" s="38">
        <v>45631</v>
      </c>
      <c r="E73" s="20">
        <v>105</v>
      </c>
      <c r="F73" s="20">
        <v>141</v>
      </c>
      <c r="G73" s="20">
        <v>107</v>
      </c>
      <c r="H73" s="20"/>
      <c r="I73" s="20">
        <v>32</v>
      </c>
      <c r="J73" s="20" t="s">
        <v>135</v>
      </c>
      <c r="K73" s="20"/>
    </row>
    <row r="74" spans="1:11" x14ac:dyDescent="0.2">
      <c r="A74">
        <v>2024</v>
      </c>
      <c r="B74" s="70" t="s">
        <v>68</v>
      </c>
      <c r="C74" s="8" t="s">
        <v>104</v>
      </c>
      <c r="D74" s="38">
        <v>45637</v>
      </c>
      <c r="E74" s="20">
        <v>141</v>
      </c>
      <c r="F74" s="20">
        <v>147</v>
      </c>
      <c r="G74" s="20">
        <v>107</v>
      </c>
      <c r="H74" s="20"/>
      <c r="I74" s="20">
        <v>30</v>
      </c>
      <c r="J74" s="20" t="s">
        <v>135</v>
      </c>
      <c r="K74" s="20"/>
    </row>
    <row r="75" spans="1:11" x14ac:dyDescent="0.2">
      <c r="A75">
        <v>2024</v>
      </c>
      <c r="B75" s="71" t="s">
        <v>70</v>
      </c>
      <c r="C75" s="8" t="s">
        <v>104</v>
      </c>
      <c r="D75" s="40">
        <v>45637</v>
      </c>
      <c r="E75" s="39">
        <v>133</v>
      </c>
      <c r="F75" s="39">
        <v>126</v>
      </c>
      <c r="G75" s="39">
        <v>101</v>
      </c>
      <c r="H75" s="39"/>
      <c r="I75" s="39">
        <v>28</v>
      </c>
      <c r="J75" s="20" t="s">
        <v>135</v>
      </c>
      <c r="K75" s="39" t="s">
        <v>147</v>
      </c>
    </row>
    <row r="76" spans="1:11" x14ac:dyDescent="0.2">
      <c r="A76">
        <v>2024</v>
      </c>
      <c r="B76" s="70" t="s">
        <v>72</v>
      </c>
      <c r="C76" s="8" t="s">
        <v>104</v>
      </c>
      <c r="D76" s="41">
        <v>45638</v>
      </c>
      <c r="E76" s="20">
        <v>190</v>
      </c>
      <c r="F76" s="20">
        <v>122</v>
      </c>
      <c r="G76" s="20">
        <v>142</v>
      </c>
      <c r="H76" s="20"/>
      <c r="I76" s="20">
        <v>20</v>
      </c>
      <c r="J76" s="20" t="s">
        <v>135</v>
      </c>
      <c r="K76" s="20"/>
    </row>
    <row r="77" spans="1:11" x14ac:dyDescent="0.2">
      <c r="A77">
        <v>2024</v>
      </c>
      <c r="B77" s="70" t="s">
        <v>73</v>
      </c>
      <c r="C77" s="8" t="s">
        <v>104</v>
      </c>
      <c r="D77" s="41">
        <v>45636</v>
      </c>
      <c r="E77" s="20">
        <v>105</v>
      </c>
      <c r="F77" s="20">
        <v>139</v>
      </c>
      <c r="G77" s="20">
        <v>106</v>
      </c>
      <c r="H77" s="20"/>
      <c r="I77" s="20">
        <v>5</v>
      </c>
      <c r="J77" s="20" t="s">
        <v>135</v>
      </c>
      <c r="K77" s="20"/>
    </row>
    <row r="78" spans="1:11" x14ac:dyDescent="0.2">
      <c r="A78">
        <v>2024</v>
      </c>
      <c r="B78" s="70" t="s">
        <v>76</v>
      </c>
      <c r="C78" s="8" t="s">
        <v>104</v>
      </c>
      <c r="D78" s="41">
        <v>45639</v>
      </c>
      <c r="E78" s="20">
        <v>209</v>
      </c>
      <c r="F78" s="20">
        <v>180</v>
      </c>
      <c r="G78" s="20">
        <v>142</v>
      </c>
      <c r="H78" s="20"/>
      <c r="I78" s="20">
        <v>27</v>
      </c>
      <c r="J78" s="20" t="s">
        <v>135</v>
      </c>
      <c r="K78" s="20"/>
    </row>
    <row r="79" spans="1:11" x14ac:dyDescent="0.2">
      <c r="A79">
        <v>2024</v>
      </c>
      <c r="B79" s="70" t="s">
        <v>77</v>
      </c>
      <c r="C79" s="8" t="s">
        <v>104</v>
      </c>
      <c r="D79" s="41">
        <v>45632</v>
      </c>
      <c r="E79" s="20">
        <v>188</v>
      </c>
      <c r="F79" s="20">
        <v>167</v>
      </c>
      <c r="G79" s="20">
        <v>146</v>
      </c>
      <c r="H79" s="20"/>
      <c r="I79" s="20">
        <v>16</v>
      </c>
      <c r="J79" s="20" t="s">
        <v>135</v>
      </c>
      <c r="K79" s="20"/>
    </row>
    <row r="80" spans="1:11" x14ac:dyDescent="0.2">
      <c r="A80">
        <v>2024</v>
      </c>
      <c r="B80" s="70" t="s">
        <v>78</v>
      </c>
      <c r="C80" s="8" t="s">
        <v>104</v>
      </c>
      <c r="D80" s="41">
        <v>45642</v>
      </c>
      <c r="E80" s="20">
        <v>205</v>
      </c>
      <c r="F80" s="20">
        <v>162</v>
      </c>
      <c r="G80" s="20">
        <v>124</v>
      </c>
      <c r="H80" s="20"/>
      <c r="I80" s="20">
        <v>3</v>
      </c>
      <c r="J80" s="20" t="s">
        <v>135</v>
      </c>
      <c r="K80" s="20"/>
    </row>
    <row r="81" spans="1:11" x14ac:dyDescent="0.2">
      <c r="A81">
        <v>2024</v>
      </c>
      <c r="B81" s="70" t="s">
        <v>79</v>
      </c>
      <c r="C81" s="8" t="s">
        <v>104</v>
      </c>
      <c r="D81" s="41">
        <v>45644</v>
      </c>
      <c r="E81" s="20">
        <v>168</v>
      </c>
      <c r="F81" s="20">
        <v>167</v>
      </c>
      <c r="G81" s="20">
        <v>133</v>
      </c>
      <c r="H81" s="20"/>
      <c r="I81" s="20">
        <v>25</v>
      </c>
      <c r="J81" s="20" t="s">
        <v>135</v>
      </c>
      <c r="K81" s="20"/>
    </row>
    <row r="82" spans="1:11" x14ac:dyDescent="0.2">
      <c r="A82">
        <v>2024</v>
      </c>
      <c r="B82" s="70" t="s">
        <v>80</v>
      </c>
      <c r="C82" s="8" t="s">
        <v>104</v>
      </c>
      <c r="D82" s="41">
        <v>45639</v>
      </c>
      <c r="E82" s="20">
        <v>130</v>
      </c>
      <c r="F82" s="20">
        <v>148</v>
      </c>
      <c r="G82" s="20">
        <v>115</v>
      </c>
      <c r="H82" s="20"/>
      <c r="I82" s="20">
        <v>6</v>
      </c>
      <c r="J82" s="20" t="s">
        <v>135</v>
      </c>
      <c r="K82" s="42" t="s">
        <v>148</v>
      </c>
    </row>
    <row r="83" spans="1:11" x14ac:dyDescent="0.2">
      <c r="A83">
        <v>2025</v>
      </c>
      <c r="B83" s="127">
        <v>27</v>
      </c>
      <c r="C83" s="128" t="s">
        <v>100</v>
      </c>
      <c r="D83" s="8"/>
      <c r="E83" s="129">
        <v>130</v>
      </c>
      <c r="F83" s="129">
        <v>130</v>
      </c>
      <c r="G83" s="129">
        <v>114</v>
      </c>
      <c r="H83" s="8"/>
      <c r="I83" s="129">
        <v>11</v>
      </c>
      <c r="J83" s="129">
        <v>37</v>
      </c>
      <c r="K83" s="130"/>
    </row>
    <row r="84" spans="1:11" x14ac:dyDescent="0.2">
      <c r="A84">
        <v>2025</v>
      </c>
      <c r="B84" s="127">
        <v>28</v>
      </c>
      <c r="C84" s="128" t="s">
        <v>100</v>
      </c>
      <c r="D84" s="8"/>
      <c r="E84" s="129">
        <v>154</v>
      </c>
      <c r="F84" s="129">
        <v>155</v>
      </c>
      <c r="G84" s="129">
        <v>136</v>
      </c>
      <c r="H84" s="8"/>
      <c r="I84" s="129">
        <v>3</v>
      </c>
      <c r="J84" s="129">
        <v>37</v>
      </c>
      <c r="K84" s="130"/>
    </row>
    <row r="85" spans="1:11" x14ac:dyDescent="0.2">
      <c r="A85">
        <v>2025</v>
      </c>
      <c r="B85" s="127">
        <v>29</v>
      </c>
      <c r="C85" s="128" t="s">
        <v>100</v>
      </c>
      <c r="D85" s="8"/>
      <c r="E85" s="129">
        <v>135</v>
      </c>
      <c r="F85" s="129">
        <v>114</v>
      </c>
      <c r="G85" s="129">
        <v>113</v>
      </c>
      <c r="H85" s="8"/>
      <c r="I85" s="131">
        <v>13</v>
      </c>
      <c r="J85" s="129">
        <v>46</v>
      </c>
      <c r="K85" s="130"/>
    </row>
    <row r="86" spans="1:11" x14ac:dyDescent="0.2">
      <c r="A86">
        <v>2025</v>
      </c>
      <c r="B86" s="127">
        <v>30</v>
      </c>
      <c r="C86" s="128" t="s">
        <v>100</v>
      </c>
      <c r="D86" s="8"/>
      <c r="E86" s="129">
        <v>94</v>
      </c>
      <c r="F86" s="129">
        <v>135</v>
      </c>
      <c r="G86" s="129">
        <v>117</v>
      </c>
      <c r="H86" s="8"/>
      <c r="I86" s="131">
        <v>0</v>
      </c>
      <c r="J86" s="129">
        <v>34</v>
      </c>
      <c r="K86" s="130"/>
    </row>
    <row r="87" spans="1:11" x14ac:dyDescent="0.2">
      <c r="A87">
        <v>2025</v>
      </c>
      <c r="B87" s="127">
        <v>44</v>
      </c>
      <c r="C87" s="128" t="s">
        <v>100</v>
      </c>
      <c r="D87" s="8"/>
      <c r="E87" s="129">
        <v>111</v>
      </c>
      <c r="F87" s="129">
        <v>86</v>
      </c>
      <c r="G87" s="129">
        <v>69</v>
      </c>
      <c r="H87" s="8"/>
      <c r="I87" s="131">
        <v>9</v>
      </c>
      <c r="J87" s="129">
        <v>47.5</v>
      </c>
      <c r="K87" s="130"/>
    </row>
    <row r="88" spans="1:11" x14ac:dyDescent="0.2">
      <c r="A88">
        <v>2025</v>
      </c>
      <c r="B88" s="127">
        <v>45</v>
      </c>
      <c r="C88" s="128" t="s">
        <v>100</v>
      </c>
      <c r="D88" s="8"/>
      <c r="E88" s="129">
        <v>178</v>
      </c>
      <c r="F88" s="129">
        <v>156</v>
      </c>
      <c r="G88" s="129">
        <v>102</v>
      </c>
      <c r="H88" s="8"/>
      <c r="I88" s="131">
        <v>22</v>
      </c>
      <c r="J88" s="129">
        <v>42</v>
      </c>
      <c r="K88" s="130" t="s">
        <v>502</v>
      </c>
    </row>
    <row r="89" spans="1:11" x14ac:dyDescent="0.2">
      <c r="A89">
        <v>2025</v>
      </c>
      <c r="B89" s="127">
        <v>46</v>
      </c>
      <c r="C89" s="128" t="s">
        <v>100</v>
      </c>
      <c r="D89" s="8"/>
      <c r="E89" s="129">
        <v>129</v>
      </c>
      <c r="F89" s="129">
        <v>135</v>
      </c>
      <c r="G89" s="129">
        <v>125</v>
      </c>
      <c r="H89" s="8"/>
      <c r="I89" s="129">
        <v>13</v>
      </c>
      <c r="J89" s="129">
        <v>38</v>
      </c>
      <c r="K89" s="130"/>
    </row>
    <row r="90" spans="1:11" x14ac:dyDescent="0.2">
      <c r="A90">
        <v>2025</v>
      </c>
      <c r="B90" s="127">
        <v>47</v>
      </c>
      <c r="C90" s="128" t="s">
        <v>100</v>
      </c>
      <c r="D90" s="8"/>
      <c r="E90" s="129">
        <v>165</v>
      </c>
      <c r="F90" s="129">
        <v>172</v>
      </c>
      <c r="G90" s="129">
        <v>150</v>
      </c>
      <c r="H90" s="8"/>
      <c r="I90" s="131">
        <v>10</v>
      </c>
      <c r="J90" s="129">
        <v>31</v>
      </c>
      <c r="K90" s="130"/>
    </row>
    <row r="91" spans="1:11" x14ac:dyDescent="0.2">
      <c r="A91">
        <v>2025</v>
      </c>
      <c r="B91" s="127">
        <v>48</v>
      </c>
      <c r="C91" s="128" t="s">
        <v>100</v>
      </c>
      <c r="D91" s="8"/>
      <c r="E91" s="129">
        <v>129</v>
      </c>
      <c r="F91" s="129">
        <v>109</v>
      </c>
      <c r="G91" s="129">
        <v>109</v>
      </c>
      <c r="H91" s="8"/>
      <c r="I91" s="129">
        <v>21</v>
      </c>
      <c r="J91" s="129">
        <v>61</v>
      </c>
      <c r="K91" s="130" t="s">
        <v>503</v>
      </c>
    </row>
    <row r="92" spans="1:11" x14ac:dyDescent="0.2">
      <c r="A92">
        <v>2025</v>
      </c>
      <c r="B92" s="127">
        <v>61</v>
      </c>
      <c r="C92" s="128" t="s">
        <v>100</v>
      </c>
      <c r="D92" s="8"/>
      <c r="E92" s="129">
        <v>104</v>
      </c>
      <c r="F92" s="129">
        <v>103</v>
      </c>
      <c r="G92" s="129">
        <v>78</v>
      </c>
      <c r="H92" s="8"/>
      <c r="I92" s="129">
        <v>2</v>
      </c>
      <c r="J92" s="129">
        <v>60</v>
      </c>
      <c r="K92" s="130" t="s">
        <v>504</v>
      </c>
    </row>
    <row r="93" spans="1:11" x14ac:dyDescent="0.2">
      <c r="A93">
        <v>2025</v>
      </c>
      <c r="B93" s="127">
        <v>62</v>
      </c>
      <c r="C93" s="128" t="s">
        <v>100</v>
      </c>
      <c r="D93" s="8"/>
      <c r="E93" s="129">
        <v>124</v>
      </c>
      <c r="F93" s="129">
        <v>90</v>
      </c>
      <c r="G93" s="129">
        <v>88</v>
      </c>
      <c r="H93" s="8"/>
      <c r="I93" s="129">
        <v>15</v>
      </c>
      <c r="J93" s="129">
        <v>33</v>
      </c>
      <c r="K93" s="130" t="s">
        <v>505</v>
      </c>
    </row>
    <row r="94" spans="1:11" x14ac:dyDescent="0.2">
      <c r="A94">
        <v>2025</v>
      </c>
      <c r="B94" s="127">
        <v>63</v>
      </c>
      <c r="C94" s="128" t="s">
        <v>100</v>
      </c>
      <c r="D94" s="8"/>
      <c r="E94" s="129">
        <v>127</v>
      </c>
      <c r="F94" s="129">
        <v>132</v>
      </c>
      <c r="G94" s="129">
        <v>149</v>
      </c>
      <c r="H94" s="8"/>
      <c r="I94" s="129">
        <v>9</v>
      </c>
      <c r="J94" s="129">
        <v>57</v>
      </c>
      <c r="K94" s="130" t="s">
        <v>503</v>
      </c>
    </row>
    <row r="95" spans="1:11" x14ac:dyDescent="0.2">
      <c r="A95">
        <v>2025</v>
      </c>
      <c r="B95" s="127">
        <v>71</v>
      </c>
      <c r="C95" s="128" t="s">
        <v>100</v>
      </c>
      <c r="D95" s="8"/>
      <c r="E95" s="129">
        <v>158</v>
      </c>
      <c r="F95" s="129">
        <v>134</v>
      </c>
      <c r="G95" s="129">
        <v>110</v>
      </c>
      <c r="H95" s="8"/>
      <c r="I95" s="129">
        <v>3</v>
      </c>
      <c r="J95" s="129" t="s">
        <v>506</v>
      </c>
      <c r="K95" s="130" t="s">
        <v>507</v>
      </c>
    </row>
    <row r="96" spans="1:11" x14ac:dyDescent="0.2">
      <c r="A96">
        <v>2025</v>
      </c>
      <c r="B96" s="127">
        <v>72</v>
      </c>
      <c r="C96" s="128" t="s">
        <v>100</v>
      </c>
      <c r="D96" s="8"/>
      <c r="E96" s="129">
        <v>127</v>
      </c>
      <c r="F96" s="129">
        <v>121</v>
      </c>
      <c r="G96" s="129">
        <v>106</v>
      </c>
      <c r="H96" s="8"/>
      <c r="I96" s="131">
        <v>1</v>
      </c>
      <c r="J96" s="129">
        <v>36</v>
      </c>
      <c r="K96" s="130" t="s">
        <v>505</v>
      </c>
    </row>
    <row r="97" spans="1:11" x14ac:dyDescent="0.2">
      <c r="A97">
        <v>2025</v>
      </c>
      <c r="B97" s="127">
        <v>73</v>
      </c>
      <c r="C97" s="128" t="s">
        <v>100</v>
      </c>
      <c r="D97" s="8"/>
      <c r="E97" s="129">
        <v>130</v>
      </c>
      <c r="F97" s="129">
        <v>125</v>
      </c>
      <c r="G97" s="129">
        <v>107</v>
      </c>
      <c r="H97" s="8"/>
      <c r="I97" s="129">
        <v>6</v>
      </c>
      <c r="J97" s="129">
        <v>33</v>
      </c>
      <c r="K97" s="130" t="s">
        <v>505</v>
      </c>
    </row>
    <row r="98" spans="1:11" x14ac:dyDescent="0.2">
      <c r="A98">
        <v>2025</v>
      </c>
      <c r="B98" s="127">
        <v>74</v>
      </c>
      <c r="C98" s="128" t="s">
        <v>100</v>
      </c>
      <c r="D98" s="8"/>
      <c r="E98" s="129">
        <v>141</v>
      </c>
      <c r="F98" s="129">
        <v>113</v>
      </c>
      <c r="G98" s="129">
        <v>94</v>
      </c>
      <c r="H98" s="8"/>
      <c r="I98" s="129">
        <v>39</v>
      </c>
      <c r="J98" s="129">
        <v>52</v>
      </c>
      <c r="K98" s="130" t="s">
        <v>508</v>
      </c>
    </row>
    <row r="99" spans="1:11" x14ac:dyDescent="0.2">
      <c r="A99">
        <v>2025</v>
      </c>
      <c r="B99" s="127">
        <v>75</v>
      </c>
      <c r="C99" s="128" t="s">
        <v>100</v>
      </c>
      <c r="D99" s="8"/>
      <c r="E99" s="129">
        <v>86</v>
      </c>
      <c r="F99" s="129">
        <v>69</v>
      </c>
      <c r="G99" s="129">
        <v>109</v>
      </c>
      <c r="H99" s="8"/>
      <c r="I99" s="129">
        <v>0</v>
      </c>
      <c r="J99" s="129">
        <v>38.5</v>
      </c>
      <c r="K99" s="130" t="s">
        <v>509</v>
      </c>
    </row>
    <row r="100" spans="1:11" x14ac:dyDescent="0.2">
      <c r="A100">
        <v>2025</v>
      </c>
      <c r="B100" s="127">
        <v>76</v>
      </c>
      <c r="C100" s="128" t="s">
        <v>100</v>
      </c>
      <c r="D100" s="8"/>
      <c r="E100" s="129">
        <v>37</v>
      </c>
      <c r="F100" s="129">
        <v>117</v>
      </c>
      <c r="G100" s="129">
        <v>108</v>
      </c>
      <c r="H100" s="8"/>
      <c r="I100" s="129">
        <v>10</v>
      </c>
      <c r="J100" s="129" t="s">
        <v>510</v>
      </c>
      <c r="K100" s="130" t="s">
        <v>511</v>
      </c>
    </row>
    <row r="101" spans="1:11" x14ac:dyDescent="0.2">
      <c r="A101">
        <v>2025</v>
      </c>
      <c r="B101" s="127">
        <v>77</v>
      </c>
      <c r="C101" s="128" t="s">
        <v>100</v>
      </c>
      <c r="D101" s="8"/>
      <c r="E101" s="132">
        <v>0</v>
      </c>
      <c r="F101" s="132">
        <v>0</v>
      </c>
      <c r="G101" s="132">
        <v>0</v>
      </c>
      <c r="H101" s="8"/>
      <c r="I101" s="132">
        <v>0</v>
      </c>
      <c r="J101" s="129">
        <v>34</v>
      </c>
      <c r="K101" s="130" t="s">
        <v>512</v>
      </c>
    </row>
    <row r="102" spans="1:11" x14ac:dyDescent="0.2">
      <c r="A102">
        <v>2025</v>
      </c>
      <c r="B102" s="127">
        <v>78</v>
      </c>
      <c r="C102" s="128" t="s">
        <v>100</v>
      </c>
      <c r="D102" s="8"/>
      <c r="E102" s="129">
        <v>142</v>
      </c>
      <c r="F102" s="129">
        <v>117</v>
      </c>
      <c r="G102" s="129">
        <v>90</v>
      </c>
      <c r="H102" s="8"/>
      <c r="I102" s="129">
        <v>10</v>
      </c>
      <c r="J102" s="129" t="s">
        <v>513</v>
      </c>
      <c r="K102" s="130" t="s">
        <v>505</v>
      </c>
    </row>
    <row r="103" spans="1:11" x14ac:dyDescent="0.2">
      <c r="A103">
        <v>2025</v>
      </c>
      <c r="B103" s="127">
        <v>79</v>
      </c>
      <c r="C103" s="128" t="s">
        <v>100</v>
      </c>
      <c r="D103" s="8"/>
      <c r="E103" s="129">
        <v>130</v>
      </c>
      <c r="F103" s="129">
        <v>98</v>
      </c>
      <c r="G103" s="129">
        <v>74</v>
      </c>
      <c r="H103" s="8"/>
      <c r="I103" s="131">
        <v>10</v>
      </c>
      <c r="J103" s="129" t="s">
        <v>514</v>
      </c>
      <c r="K103" s="130" t="s">
        <v>505</v>
      </c>
    </row>
    <row r="104" spans="1:11" x14ac:dyDescent="0.2">
      <c r="A104">
        <v>2025</v>
      </c>
      <c r="B104" s="127">
        <v>80</v>
      </c>
      <c r="C104" s="128" t="s">
        <v>100</v>
      </c>
      <c r="D104" s="8"/>
      <c r="E104" s="129">
        <v>67</v>
      </c>
      <c r="F104" s="129">
        <v>67</v>
      </c>
      <c r="G104" s="129">
        <v>70</v>
      </c>
      <c r="H104" s="8"/>
      <c r="I104" s="131">
        <v>6</v>
      </c>
      <c r="J104" s="129">
        <v>33</v>
      </c>
      <c r="K104" s="130" t="s">
        <v>505</v>
      </c>
    </row>
    <row r="105" spans="1:11" x14ac:dyDescent="0.2">
      <c r="A105">
        <v>2025</v>
      </c>
      <c r="B105" s="127">
        <v>96</v>
      </c>
      <c r="C105" s="128" t="s">
        <v>100</v>
      </c>
      <c r="D105" s="8"/>
      <c r="E105" s="129">
        <v>169</v>
      </c>
      <c r="F105" s="129">
        <v>131</v>
      </c>
      <c r="G105" s="129">
        <v>119</v>
      </c>
      <c r="H105" s="8"/>
      <c r="I105" s="129">
        <v>8</v>
      </c>
      <c r="J105" s="129" t="s">
        <v>506</v>
      </c>
      <c r="K105" s="130" t="s">
        <v>505</v>
      </c>
    </row>
    <row r="106" spans="1:11" x14ac:dyDescent="0.2">
      <c r="A106">
        <v>2025</v>
      </c>
      <c r="B106" s="127">
        <v>97</v>
      </c>
      <c r="C106" s="128" t="s">
        <v>100</v>
      </c>
      <c r="D106" s="8"/>
      <c r="E106" s="129">
        <v>111</v>
      </c>
      <c r="F106" s="129">
        <v>130</v>
      </c>
      <c r="G106" s="129">
        <v>90</v>
      </c>
      <c r="H106" s="8"/>
      <c r="I106" s="129">
        <v>0</v>
      </c>
      <c r="J106" s="129">
        <v>34</v>
      </c>
      <c r="K106" s="130" t="s">
        <v>505</v>
      </c>
    </row>
    <row r="107" spans="1:11" x14ac:dyDescent="0.2">
      <c r="A107">
        <v>2025</v>
      </c>
      <c r="B107" s="127">
        <v>98</v>
      </c>
      <c r="C107" s="128" t="s">
        <v>100</v>
      </c>
      <c r="D107" s="8"/>
      <c r="E107" s="129">
        <v>102</v>
      </c>
      <c r="F107" s="129">
        <v>136</v>
      </c>
      <c r="G107" s="129">
        <v>113</v>
      </c>
      <c r="H107" s="8"/>
      <c r="I107" s="131">
        <v>0</v>
      </c>
      <c r="J107" s="129" t="s">
        <v>515</v>
      </c>
      <c r="K107" s="130" t="s">
        <v>505</v>
      </c>
    </row>
    <row r="108" spans="1:11" x14ac:dyDescent="0.2">
      <c r="A108">
        <v>2025</v>
      </c>
      <c r="B108" s="127">
        <v>99</v>
      </c>
      <c r="C108" s="128" t="s">
        <v>100</v>
      </c>
      <c r="D108" s="8"/>
      <c r="E108" s="129">
        <v>50</v>
      </c>
      <c r="F108" s="129">
        <v>108</v>
      </c>
      <c r="G108" s="129">
        <v>86</v>
      </c>
      <c r="H108" s="8"/>
      <c r="I108" s="131">
        <v>0</v>
      </c>
      <c r="J108" s="129">
        <v>38</v>
      </c>
      <c r="K108" s="130" t="s">
        <v>516</v>
      </c>
    </row>
    <row r="109" spans="1:11" x14ac:dyDescent="0.2">
      <c r="A109">
        <v>2025</v>
      </c>
      <c r="B109" s="133">
        <v>27</v>
      </c>
      <c r="C109" s="128" t="s">
        <v>104</v>
      </c>
      <c r="D109" s="8"/>
      <c r="E109" s="132">
        <v>177</v>
      </c>
      <c r="F109" s="132">
        <v>151</v>
      </c>
      <c r="G109" s="132">
        <v>127</v>
      </c>
      <c r="H109" s="8"/>
      <c r="I109" s="132">
        <v>17</v>
      </c>
      <c r="J109" s="132">
        <v>37</v>
      </c>
      <c r="K109" s="134"/>
    </row>
    <row r="110" spans="1:11" x14ac:dyDescent="0.2">
      <c r="A110">
        <v>2025</v>
      </c>
      <c r="B110" s="133">
        <v>28</v>
      </c>
      <c r="C110" s="128" t="s">
        <v>104</v>
      </c>
      <c r="D110" s="8"/>
      <c r="E110" s="132">
        <v>239</v>
      </c>
      <c r="F110" s="132">
        <v>159</v>
      </c>
      <c r="G110" s="132">
        <v>134</v>
      </c>
      <c r="H110" s="8"/>
      <c r="I110" s="132">
        <v>4</v>
      </c>
      <c r="J110" s="132">
        <v>37</v>
      </c>
      <c r="K110" s="134"/>
    </row>
    <row r="111" spans="1:11" x14ac:dyDescent="0.2">
      <c r="A111">
        <v>2025</v>
      </c>
      <c r="B111" s="127">
        <v>44</v>
      </c>
      <c r="C111" s="128" t="s">
        <v>104</v>
      </c>
      <c r="D111" s="8"/>
      <c r="E111" s="132">
        <v>197</v>
      </c>
      <c r="F111" s="132">
        <v>145</v>
      </c>
      <c r="G111" s="132">
        <v>109</v>
      </c>
      <c r="H111" s="8"/>
      <c r="I111" s="132" t="s">
        <v>517</v>
      </c>
      <c r="J111" s="132" t="s">
        <v>518</v>
      </c>
      <c r="K111" s="134" t="s">
        <v>519</v>
      </c>
    </row>
    <row r="112" spans="1:11" x14ac:dyDescent="0.2">
      <c r="A112">
        <v>2025</v>
      </c>
      <c r="B112" s="127">
        <v>46</v>
      </c>
      <c r="C112" s="128" t="s">
        <v>104</v>
      </c>
      <c r="D112" s="8"/>
      <c r="E112" s="132">
        <v>142</v>
      </c>
      <c r="F112" s="132">
        <v>130</v>
      </c>
      <c r="G112" s="132">
        <v>94</v>
      </c>
      <c r="H112" s="8"/>
      <c r="I112" s="132">
        <v>23</v>
      </c>
      <c r="J112" s="132">
        <v>38</v>
      </c>
      <c r="K112" s="134"/>
    </row>
    <row r="113" spans="1:11" x14ac:dyDescent="0.2">
      <c r="A113">
        <v>2025</v>
      </c>
      <c r="B113" s="127">
        <v>48</v>
      </c>
      <c r="C113" s="128" t="s">
        <v>104</v>
      </c>
      <c r="D113" s="8"/>
      <c r="E113" s="132">
        <v>141</v>
      </c>
      <c r="F113" s="132">
        <v>149</v>
      </c>
      <c r="G113" s="132">
        <v>110</v>
      </c>
      <c r="H113" s="8"/>
      <c r="I113" s="132">
        <v>22</v>
      </c>
      <c r="J113" s="132">
        <v>61</v>
      </c>
      <c r="K113" s="134"/>
    </row>
    <row r="114" spans="1:11" x14ac:dyDescent="0.2">
      <c r="A114">
        <v>2025</v>
      </c>
      <c r="B114" s="127">
        <v>61</v>
      </c>
      <c r="C114" s="128" t="s">
        <v>104</v>
      </c>
      <c r="D114" s="8"/>
      <c r="E114" s="132">
        <v>141</v>
      </c>
      <c r="F114" s="132">
        <v>133</v>
      </c>
      <c r="G114" s="132">
        <v>86</v>
      </c>
      <c r="H114" s="8"/>
      <c r="I114" s="132">
        <v>5</v>
      </c>
      <c r="J114" s="132">
        <v>60</v>
      </c>
      <c r="K114" s="134"/>
    </row>
    <row r="115" spans="1:11" x14ac:dyDescent="0.2">
      <c r="A115">
        <v>2025</v>
      </c>
      <c r="B115" s="127">
        <v>62</v>
      </c>
      <c r="C115" s="128" t="s">
        <v>104</v>
      </c>
      <c r="D115" s="8"/>
      <c r="E115" s="132">
        <v>132</v>
      </c>
      <c r="F115" s="132">
        <v>140</v>
      </c>
      <c r="G115" s="132">
        <v>115</v>
      </c>
      <c r="H115" s="8"/>
      <c r="I115" s="132">
        <v>19</v>
      </c>
      <c r="J115" s="132">
        <v>33</v>
      </c>
      <c r="K115" s="134"/>
    </row>
    <row r="116" spans="1:11" x14ac:dyDescent="0.2">
      <c r="A116">
        <v>2025</v>
      </c>
      <c r="B116" s="127">
        <v>63</v>
      </c>
      <c r="C116" s="128" t="s">
        <v>104</v>
      </c>
      <c r="D116" s="8"/>
      <c r="E116" s="132">
        <v>271</v>
      </c>
      <c r="F116" s="132">
        <v>187</v>
      </c>
      <c r="G116" s="132">
        <v>144</v>
      </c>
      <c r="H116" s="8"/>
      <c r="I116" s="132">
        <v>16</v>
      </c>
      <c r="J116" s="132">
        <v>57</v>
      </c>
      <c r="K116" s="134"/>
    </row>
    <row r="117" spans="1:11" x14ac:dyDescent="0.2">
      <c r="A117">
        <v>2025</v>
      </c>
      <c r="B117" s="127">
        <v>71</v>
      </c>
      <c r="C117" s="128" t="s">
        <v>104</v>
      </c>
      <c r="D117" s="8"/>
      <c r="E117" s="132">
        <v>139</v>
      </c>
      <c r="F117" s="132">
        <v>126</v>
      </c>
      <c r="G117" s="132">
        <v>104</v>
      </c>
      <c r="H117" s="8"/>
      <c r="I117" s="132">
        <v>1</v>
      </c>
      <c r="J117" s="132">
        <v>35</v>
      </c>
      <c r="K117" s="134" t="s">
        <v>520</v>
      </c>
    </row>
    <row r="118" spans="1:11" x14ac:dyDescent="0.2">
      <c r="A118">
        <v>2025</v>
      </c>
      <c r="B118" s="127">
        <v>73</v>
      </c>
      <c r="C118" s="128" t="s">
        <v>104</v>
      </c>
      <c r="D118" s="8"/>
      <c r="E118" s="132">
        <v>137</v>
      </c>
      <c r="F118" s="132">
        <v>137</v>
      </c>
      <c r="G118" s="132">
        <v>101</v>
      </c>
      <c r="H118" s="8"/>
      <c r="I118" s="132">
        <v>19</v>
      </c>
      <c r="J118" s="132">
        <v>33</v>
      </c>
      <c r="K118" s="134"/>
    </row>
    <row r="119" spans="1:11" x14ac:dyDescent="0.2">
      <c r="A119">
        <v>2025</v>
      </c>
      <c r="B119" s="127">
        <v>74</v>
      </c>
      <c r="C119" s="128" t="s">
        <v>104</v>
      </c>
      <c r="D119" s="8"/>
      <c r="E119" s="132">
        <v>163</v>
      </c>
      <c r="F119" s="132">
        <v>106</v>
      </c>
      <c r="G119" s="132">
        <v>137</v>
      </c>
      <c r="H119" s="8"/>
      <c r="I119" s="132">
        <v>34</v>
      </c>
      <c r="J119" s="132">
        <v>84</v>
      </c>
      <c r="K119" s="134"/>
    </row>
    <row r="120" spans="1:11" x14ac:dyDescent="0.2">
      <c r="A120">
        <v>2025</v>
      </c>
      <c r="B120" s="127">
        <v>75</v>
      </c>
      <c r="C120" s="128" t="s">
        <v>104</v>
      </c>
      <c r="D120" s="8"/>
      <c r="E120" s="132">
        <v>117</v>
      </c>
      <c r="F120" s="132">
        <v>136</v>
      </c>
      <c r="G120" s="132">
        <v>101</v>
      </c>
      <c r="H120" s="8"/>
      <c r="I120" s="132">
        <v>0</v>
      </c>
      <c r="J120" s="132">
        <v>38.5</v>
      </c>
      <c r="K120" s="134" t="s">
        <v>521</v>
      </c>
    </row>
    <row r="121" spans="1:11" x14ac:dyDescent="0.2">
      <c r="A121">
        <v>2025</v>
      </c>
      <c r="B121" s="127">
        <v>76</v>
      </c>
      <c r="C121" s="128" t="s">
        <v>104</v>
      </c>
      <c r="D121" s="8"/>
      <c r="E121" s="132">
        <v>92</v>
      </c>
      <c r="F121" s="132">
        <v>142</v>
      </c>
      <c r="G121" s="132">
        <v>125</v>
      </c>
      <c r="H121" s="8"/>
      <c r="I121" s="132">
        <v>11</v>
      </c>
      <c r="J121" s="132"/>
      <c r="K121" s="134" t="s">
        <v>522</v>
      </c>
    </row>
    <row r="122" spans="1:11" x14ac:dyDescent="0.2">
      <c r="A122">
        <v>2025</v>
      </c>
      <c r="B122" s="127">
        <v>78</v>
      </c>
      <c r="C122" s="128" t="s">
        <v>104</v>
      </c>
      <c r="D122" s="8"/>
      <c r="E122" s="132">
        <v>153</v>
      </c>
      <c r="F122" s="132">
        <v>125</v>
      </c>
      <c r="G122" s="132">
        <v>100</v>
      </c>
      <c r="H122" s="8"/>
      <c r="I122" s="132">
        <v>24</v>
      </c>
      <c r="J122" s="132">
        <v>44.5</v>
      </c>
      <c r="K122" s="134"/>
    </row>
    <row r="123" spans="1:11" x14ac:dyDescent="0.2">
      <c r="A123">
        <v>2025</v>
      </c>
      <c r="B123" s="127">
        <v>96</v>
      </c>
      <c r="C123" s="128" t="s">
        <v>104</v>
      </c>
      <c r="D123" s="8"/>
      <c r="E123" s="132">
        <v>185</v>
      </c>
      <c r="F123" s="132">
        <v>154</v>
      </c>
      <c r="G123" s="132">
        <v>114</v>
      </c>
      <c r="H123" s="8"/>
      <c r="I123" s="132">
        <v>22</v>
      </c>
      <c r="J123" s="129" t="s">
        <v>506</v>
      </c>
      <c r="K123" s="134"/>
    </row>
    <row r="124" spans="1:11" x14ac:dyDescent="0.2">
      <c r="A124">
        <v>2025</v>
      </c>
      <c r="B124" s="135">
        <v>97</v>
      </c>
      <c r="C124" s="136" t="s">
        <v>104</v>
      </c>
      <c r="D124" s="115"/>
      <c r="E124" s="137">
        <v>112</v>
      </c>
      <c r="F124" s="137">
        <v>138</v>
      </c>
      <c r="G124" s="137">
        <v>112</v>
      </c>
      <c r="H124" s="115"/>
      <c r="I124" s="137">
        <v>21</v>
      </c>
      <c r="J124" s="137">
        <v>34</v>
      </c>
      <c r="K124" s="13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43312-D57E-4399-A989-A22346E58310}">
  <dimension ref="A1:U188"/>
  <sheetViews>
    <sheetView topLeftCell="M1" workbookViewId="0">
      <pane ySplit="1" topLeftCell="A179" activePane="bottomLeft" state="frozen"/>
      <selection pane="bottomLeft" activeCell="J192" sqref="J192"/>
    </sheetView>
  </sheetViews>
  <sheetFormatPr baseColWidth="10" defaultRowHeight="15" x14ac:dyDescent="0.2"/>
  <cols>
    <col min="17" max="17" width="21.83203125" bestFit="1" customWidth="1"/>
  </cols>
  <sheetData>
    <row r="1" spans="1:20" x14ac:dyDescent="0.2">
      <c r="A1" t="s">
        <v>497</v>
      </c>
      <c r="B1" t="s">
        <v>82</v>
      </c>
      <c r="C1" t="s">
        <v>107</v>
      </c>
      <c r="D1" t="s">
        <v>81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</row>
    <row r="2" spans="1:20" x14ac:dyDescent="0.2">
      <c r="A2">
        <v>2024</v>
      </c>
      <c r="B2" s="9" t="s">
        <v>20</v>
      </c>
      <c r="C2" s="9" t="s">
        <v>108</v>
      </c>
      <c r="D2" t="s">
        <v>100</v>
      </c>
      <c r="E2">
        <v>3</v>
      </c>
      <c r="F2">
        <v>3</v>
      </c>
      <c r="G2">
        <v>2</v>
      </c>
      <c r="H2">
        <v>3</v>
      </c>
      <c r="I2">
        <v>3</v>
      </c>
      <c r="J2">
        <v>3</v>
      </c>
      <c r="K2">
        <v>2</v>
      </c>
      <c r="L2">
        <v>2</v>
      </c>
      <c r="M2">
        <v>2</v>
      </c>
      <c r="N2">
        <v>3</v>
      </c>
      <c r="O2">
        <v>3</v>
      </c>
      <c r="P2">
        <v>3</v>
      </c>
      <c r="Q2">
        <v>1</v>
      </c>
      <c r="R2">
        <f t="shared" ref="R2:R33" si="0">SUM(E2:Q2)</f>
        <v>33</v>
      </c>
      <c r="S2">
        <f t="shared" ref="S2:S33" si="1">COUNT(E2:Q2)</f>
        <v>13</v>
      </c>
      <c r="T2">
        <f t="shared" ref="T2:T5" si="2">R2-S2</f>
        <v>20</v>
      </c>
    </row>
    <row r="3" spans="1:20" x14ac:dyDescent="0.2">
      <c r="A3">
        <v>2024</v>
      </c>
      <c r="B3" s="9" t="s">
        <v>23</v>
      </c>
      <c r="C3" s="9" t="s">
        <v>108</v>
      </c>
      <c r="D3" t="s">
        <v>100</v>
      </c>
      <c r="E3">
        <v>2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2</v>
      </c>
      <c r="N3">
        <v>3</v>
      </c>
      <c r="O3">
        <v>3</v>
      </c>
      <c r="R3">
        <f t="shared" si="0"/>
        <v>31</v>
      </c>
      <c r="S3">
        <f t="shared" si="1"/>
        <v>11</v>
      </c>
      <c r="T3">
        <f t="shared" si="2"/>
        <v>20</v>
      </c>
    </row>
    <row r="4" spans="1:20" x14ac:dyDescent="0.2">
      <c r="A4">
        <v>2024</v>
      </c>
      <c r="B4" s="9" t="s">
        <v>26</v>
      </c>
      <c r="C4" s="9" t="s">
        <v>108</v>
      </c>
      <c r="D4" t="s">
        <v>100</v>
      </c>
      <c r="E4">
        <v>3</v>
      </c>
      <c r="F4">
        <v>3</v>
      </c>
      <c r="G4">
        <v>2</v>
      </c>
      <c r="H4">
        <v>3</v>
      </c>
      <c r="I4">
        <v>3</v>
      </c>
      <c r="J4">
        <v>2</v>
      </c>
      <c r="K4">
        <v>2</v>
      </c>
      <c r="L4">
        <v>3</v>
      </c>
      <c r="M4">
        <v>2</v>
      </c>
      <c r="N4">
        <v>3</v>
      </c>
      <c r="O4">
        <v>2</v>
      </c>
      <c r="P4">
        <v>2</v>
      </c>
      <c r="Q4">
        <v>1</v>
      </c>
      <c r="R4">
        <f t="shared" si="0"/>
        <v>31</v>
      </c>
      <c r="S4">
        <f t="shared" si="1"/>
        <v>13</v>
      </c>
      <c r="T4">
        <f t="shared" si="2"/>
        <v>18</v>
      </c>
    </row>
    <row r="5" spans="1:20" x14ac:dyDescent="0.2">
      <c r="A5">
        <v>2024</v>
      </c>
      <c r="B5" s="9" t="s">
        <v>27</v>
      </c>
      <c r="C5" s="9" t="s">
        <v>108</v>
      </c>
      <c r="D5" t="s">
        <v>100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1</v>
      </c>
      <c r="Q5">
        <v>1</v>
      </c>
      <c r="R5">
        <f t="shared" si="0"/>
        <v>24</v>
      </c>
      <c r="S5">
        <f t="shared" si="1"/>
        <v>13</v>
      </c>
      <c r="T5">
        <f t="shared" si="2"/>
        <v>11</v>
      </c>
    </row>
    <row r="6" spans="1:20" x14ac:dyDescent="0.2">
      <c r="A6">
        <v>2024</v>
      </c>
      <c r="B6" t="s">
        <v>29</v>
      </c>
      <c r="C6" s="9" t="s">
        <v>108</v>
      </c>
      <c r="D6" t="s">
        <v>100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 s="10" t="s">
        <v>101</v>
      </c>
      <c r="R6">
        <f t="shared" si="0"/>
        <v>24</v>
      </c>
      <c r="S6">
        <f t="shared" si="1"/>
        <v>12</v>
      </c>
      <c r="T6">
        <f>R6-S6</f>
        <v>12</v>
      </c>
    </row>
    <row r="7" spans="1:20" x14ac:dyDescent="0.2">
      <c r="A7">
        <v>2024</v>
      </c>
      <c r="B7" s="9" t="s">
        <v>30</v>
      </c>
      <c r="C7" s="9" t="s">
        <v>108</v>
      </c>
      <c r="D7" t="s">
        <v>100</v>
      </c>
      <c r="E7">
        <v>3</v>
      </c>
      <c r="F7">
        <v>3</v>
      </c>
      <c r="G7">
        <v>3</v>
      </c>
      <c r="H7">
        <v>2</v>
      </c>
      <c r="I7">
        <v>3</v>
      </c>
      <c r="J7">
        <v>2</v>
      </c>
      <c r="K7">
        <v>2</v>
      </c>
      <c r="L7">
        <v>3</v>
      </c>
      <c r="M7">
        <v>2</v>
      </c>
      <c r="N7">
        <v>2</v>
      </c>
      <c r="O7">
        <v>2</v>
      </c>
      <c r="P7">
        <v>4</v>
      </c>
      <c r="Q7">
        <v>2</v>
      </c>
      <c r="R7">
        <f t="shared" si="0"/>
        <v>33</v>
      </c>
      <c r="S7">
        <f t="shared" si="1"/>
        <v>13</v>
      </c>
      <c r="T7">
        <f t="shared" ref="T7:T45" si="3">R7-S7</f>
        <v>20</v>
      </c>
    </row>
    <row r="8" spans="1:20" x14ac:dyDescent="0.2">
      <c r="A8">
        <v>2024</v>
      </c>
      <c r="B8" t="s">
        <v>34</v>
      </c>
      <c r="C8" s="9" t="s">
        <v>108</v>
      </c>
      <c r="D8" t="s">
        <v>100</v>
      </c>
      <c r="E8">
        <v>2</v>
      </c>
      <c r="F8">
        <v>2</v>
      </c>
      <c r="G8">
        <v>2</v>
      </c>
      <c r="H8">
        <v>3</v>
      </c>
      <c r="I8">
        <v>2</v>
      </c>
      <c r="J8">
        <v>3</v>
      </c>
      <c r="K8">
        <v>2</v>
      </c>
      <c r="L8">
        <v>2</v>
      </c>
      <c r="M8">
        <v>2</v>
      </c>
      <c r="N8">
        <v>2</v>
      </c>
      <c r="O8">
        <v>3</v>
      </c>
      <c r="P8">
        <v>3</v>
      </c>
      <c r="Q8">
        <v>1</v>
      </c>
      <c r="R8">
        <f t="shared" si="0"/>
        <v>29</v>
      </c>
      <c r="S8">
        <f t="shared" si="1"/>
        <v>13</v>
      </c>
      <c r="T8">
        <f t="shared" si="3"/>
        <v>16</v>
      </c>
    </row>
    <row r="9" spans="1:20" x14ac:dyDescent="0.2">
      <c r="A9">
        <v>2024</v>
      </c>
      <c r="B9" s="9" t="s">
        <v>36</v>
      </c>
      <c r="C9" s="9" t="s">
        <v>108</v>
      </c>
      <c r="D9" t="s">
        <v>100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2</v>
      </c>
      <c r="L9">
        <v>2</v>
      </c>
      <c r="M9">
        <v>2</v>
      </c>
      <c r="N9">
        <v>2</v>
      </c>
      <c r="O9">
        <v>3</v>
      </c>
      <c r="P9">
        <v>4</v>
      </c>
      <c r="Q9">
        <v>1</v>
      </c>
      <c r="R9">
        <f t="shared" si="0"/>
        <v>34</v>
      </c>
      <c r="S9">
        <f t="shared" si="1"/>
        <v>13</v>
      </c>
      <c r="T9">
        <f t="shared" si="3"/>
        <v>21</v>
      </c>
    </row>
    <row r="10" spans="1:20" x14ac:dyDescent="0.2">
      <c r="A10">
        <v>2024</v>
      </c>
      <c r="B10" t="s">
        <v>37</v>
      </c>
      <c r="C10" s="9" t="s">
        <v>108</v>
      </c>
      <c r="D10" t="s">
        <v>100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3</v>
      </c>
      <c r="M10">
        <v>2</v>
      </c>
      <c r="N10">
        <v>2</v>
      </c>
      <c r="O10">
        <v>2</v>
      </c>
      <c r="P10" s="10" t="s">
        <v>101</v>
      </c>
      <c r="Q10">
        <v>1</v>
      </c>
      <c r="R10">
        <f t="shared" si="0"/>
        <v>24</v>
      </c>
      <c r="S10">
        <f t="shared" si="1"/>
        <v>12</v>
      </c>
      <c r="T10">
        <f t="shared" si="3"/>
        <v>12</v>
      </c>
    </row>
    <row r="11" spans="1:20" x14ac:dyDescent="0.2">
      <c r="A11">
        <v>2024</v>
      </c>
      <c r="B11" t="s">
        <v>38</v>
      </c>
      <c r="C11" s="9" t="s">
        <v>108</v>
      </c>
      <c r="D11" t="s">
        <v>100</v>
      </c>
      <c r="E11">
        <v>3</v>
      </c>
      <c r="F11">
        <v>3</v>
      </c>
      <c r="G11">
        <v>2</v>
      </c>
      <c r="H11">
        <v>2</v>
      </c>
      <c r="I11">
        <v>1</v>
      </c>
      <c r="J11">
        <v>3</v>
      </c>
      <c r="K11">
        <v>3</v>
      </c>
      <c r="L11">
        <v>2</v>
      </c>
      <c r="M11">
        <v>3</v>
      </c>
      <c r="N11">
        <v>3</v>
      </c>
      <c r="O11">
        <v>3</v>
      </c>
      <c r="P11">
        <v>3</v>
      </c>
      <c r="Q11">
        <v>1</v>
      </c>
      <c r="R11">
        <f t="shared" si="0"/>
        <v>32</v>
      </c>
      <c r="S11">
        <f t="shared" si="1"/>
        <v>13</v>
      </c>
      <c r="T11">
        <f t="shared" si="3"/>
        <v>19</v>
      </c>
    </row>
    <row r="12" spans="1:20" x14ac:dyDescent="0.2">
      <c r="A12">
        <v>2024</v>
      </c>
      <c r="B12" t="s">
        <v>39</v>
      </c>
      <c r="C12" s="9" t="s">
        <v>108</v>
      </c>
      <c r="D12" t="s">
        <v>100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R12">
        <f t="shared" si="0"/>
        <v>22</v>
      </c>
      <c r="S12">
        <f t="shared" si="1"/>
        <v>11</v>
      </c>
      <c r="T12">
        <f t="shared" si="3"/>
        <v>11</v>
      </c>
    </row>
    <row r="13" spans="1:20" x14ac:dyDescent="0.2">
      <c r="A13">
        <v>2024</v>
      </c>
      <c r="B13" t="s">
        <v>43</v>
      </c>
      <c r="C13" s="9" t="s">
        <v>108</v>
      </c>
      <c r="D13" t="s">
        <v>100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1</v>
      </c>
      <c r="Q13">
        <v>1</v>
      </c>
      <c r="R13">
        <f t="shared" si="0"/>
        <v>24</v>
      </c>
      <c r="S13">
        <f t="shared" si="1"/>
        <v>13</v>
      </c>
      <c r="T13">
        <f t="shared" si="3"/>
        <v>11</v>
      </c>
    </row>
    <row r="14" spans="1:20" x14ac:dyDescent="0.2">
      <c r="A14">
        <v>2024</v>
      </c>
      <c r="B14" t="s">
        <v>44</v>
      </c>
      <c r="C14" s="9" t="s">
        <v>108</v>
      </c>
      <c r="D14" t="s">
        <v>100</v>
      </c>
      <c r="E14">
        <v>1</v>
      </c>
      <c r="F14">
        <v>2</v>
      </c>
      <c r="G14">
        <v>2</v>
      </c>
      <c r="H14">
        <v>2</v>
      </c>
      <c r="I14">
        <v>2</v>
      </c>
      <c r="J14">
        <v>2</v>
      </c>
      <c r="K14">
        <v>1</v>
      </c>
      <c r="L14">
        <v>2</v>
      </c>
      <c r="M14">
        <v>2</v>
      </c>
      <c r="N14">
        <v>2</v>
      </c>
      <c r="O14">
        <v>3</v>
      </c>
      <c r="P14" s="10" t="s">
        <v>101</v>
      </c>
      <c r="Q14" s="10" t="s">
        <v>101</v>
      </c>
      <c r="R14">
        <f t="shared" si="0"/>
        <v>21</v>
      </c>
      <c r="S14">
        <f t="shared" si="1"/>
        <v>11</v>
      </c>
      <c r="T14">
        <f t="shared" si="3"/>
        <v>10</v>
      </c>
    </row>
    <row r="15" spans="1:20" x14ac:dyDescent="0.2">
      <c r="A15">
        <v>2024</v>
      </c>
      <c r="B15" t="s">
        <v>45</v>
      </c>
      <c r="C15" s="9" t="s">
        <v>108</v>
      </c>
      <c r="D15" t="s">
        <v>100</v>
      </c>
      <c r="E15">
        <v>3</v>
      </c>
      <c r="F15">
        <v>2</v>
      </c>
      <c r="G15">
        <v>2</v>
      </c>
      <c r="H15">
        <v>2</v>
      </c>
      <c r="I15">
        <v>3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 s="10" t="s">
        <v>101</v>
      </c>
      <c r="Q15" s="10" t="s">
        <v>101</v>
      </c>
      <c r="R15">
        <f t="shared" si="0"/>
        <v>24</v>
      </c>
      <c r="S15">
        <f t="shared" si="1"/>
        <v>11</v>
      </c>
      <c r="T15">
        <f t="shared" si="3"/>
        <v>13</v>
      </c>
    </row>
    <row r="16" spans="1:20" x14ac:dyDescent="0.2">
      <c r="A16">
        <v>2024</v>
      </c>
      <c r="B16" t="s">
        <v>46</v>
      </c>
      <c r="C16" s="9" t="s">
        <v>108</v>
      </c>
      <c r="D16" t="s">
        <v>100</v>
      </c>
      <c r="E16">
        <v>3</v>
      </c>
      <c r="F16">
        <v>3</v>
      </c>
      <c r="G16">
        <v>2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4</v>
      </c>
      <c r="Q16">
        <v>1</v>
      </c>
      <c r="R16">
        <f t="shared" si="0"/>
        <v>37</v>
      </c>
      <c r="S16">
        <f t="shared" si="1"/>
        <v>13</v>
      </c>
      <c r="T16">
        <f t="shared" si="3"/>
        <v>24</v>
      </c>
    </row>
    <row r="17" spans="1:21" x14ac:dyDescent="0.2">
      <c r="A17">
        <v>2024</v>
      </c>
      <c r="B17" t="s">
        <v>47</v>
      </c>
      <c r="C17" s="9" t="s">
        <v>108</v>
      </c>
      <c r="D17" t="s">
        <v>100</v>
      </c>
      <c r="E17">
        <v>3</v>
      </c>
      <c r="F17">
        <v>3</v>
      </c>
      <c r="G17">
        <v>3</v>
      </c>
      <c r="H17">
        <v>2</v>
      </c>
      <c r="I17">
        <v>2</v>
      </c>
      <c r="J17">
        <v>3</v>
      </c>
      <c r="K17">
        <v>2</v>
      </c>
      <c r="L17">
        <v>2</v>
      </c>
      <c r="M17">
        <v>2</v>
      </c>
      <c r="N17">
        <v>3</v>
      </c>
      <c r="O17">
        <v>3</v>
      </c>
      <c r="P17">
        <v>3</v>
      </c>
      <c r="Q17">
        <v>1</v>
      </c>
      <c r="R17">
        <f t="shared" si="0"/>
        <v>32</v>
      </c>
      <c r="S17">
        <f t="shared" si="1"/>
        <v>13</v>
      </c>
      <c r="T17">
        <f t="shared" si="3"/>
        <v>19</v>
      </c>
    </row>
    <row r="18" spans="1:21" x14ac:dyDescent="0.2">
      <c r="A18">
        <v>2024</v>
      </c>
      <c r="B18" t="s">
        <v>48</v>
      </c>
      <c r="C18" s="9" t="s">
        <v>108</v>
      </c>
      <c r="D18" t="s">
        <v>100</v>
      </c>
      <c r="E18">
        <v>3</v>
      </c>
      <c r="F18">
        <v>3</v>
      </c>
      <c r="G18">
        <v>3</v>
      </c>
      <c r="H18">
        <v>3</v>
      </c>
      <c r="I18">
        <v>4</v>
      </c>
      <c r="J18">
        <v>4</v>
      </c>
      <c r="K18">
        <v>3</v>
      </c>
      <c r="L18">
        <v>3</v>
      </c>
      <c r="M18">
        <v>2</v>
      </c>
      <c r="N18">
        <v>2</v>
      </c>
      <c r="O18">
        <v>2</v>
      </c>
      <c r="P18">
        <v>4</v>
      </c>
      <c r="Q18">
        <v>3</v>
      </c>
      <c r="R18">
        <f t="shared" si="0"/>
        <v>39</v>
      </c>
      <c r="S18">
        <f t="shared" si="1"/>
        <v>13</v>
      </c>
      <c r="T18">
        <f t="shared" si="3"/>
        <v>26</v>
      </c>
    </row>
    <row r="19" spans="1:21" x14ac:dyDescent="0.2">
      <c r="A19">
        <v>2024</v>
      </c>
      <c r="B19" t="s">
        <v>49</v>
      </c>
      <c r="C19" s="9" t="s">
        <v>108</v>
      </c>
      <c r="D19" t="s">
        <v>100</v>
      </c>
      <c r="E19">
        <v>2</v>
      </c>
      <c r="F19">
        <v>2</v>
      </c>
      <c r="G19">
        <v>2</v>
      </c>
      <c r="H19">
        <v>3</v>
      </c>
      <c r="I19">
        <v>3</v>
      </c>
      <c r="J19">
        <v>3</v>
      </c>
      <c r="K19">
        <v>3</v>
      </c>
      <c r="L19">
        <v>3</v>
      </c>
      <c r="M19">
        <v>1</v>
      </c>
      <c r="N19">
        <v>4</v>
      </c>
      <c r="O19">
        <v>4</v>
      </c>
      <c r="P19">
        <v>4</v>
      </c>
      <c r="Q19">
        <v>1</v>
      </c>
      <c r="R19">
        <f t="shared" si="0"/>
        <v>35</v>
      </c>
      <c r="S19">
        <f t="shared" si="1"/>
        <v>13</v>
      </c>
      <c r="T19">
        <f t="shared" si="3"/>
        <v>22</v>
      </c>
    </row>
    <row r="20" spans="1:21" x14ac:dyDescent="0.2">
      <c r="A20">
        <v>2024</v>
      </c>
      <c r="B20" t="s">
        <v>50</v>
      </c>
      <c r="C20" s="9" t="s">
        <v>108</v>
      </c>
      <c r="D20" t="s">
        <v>100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2</v>
      </c>
      <c r="R20">
        <f t="shared" si="0"/>
        <v>50</v>
      </c>
      <c r="S20">
        <f t="shared" si="1"/>
        <v>13</v>
      </c>
      <c r="T20">
        <f t="shared" si="3"/>
        <v>37</v>
      </c>
    </row>
    <row r="21" spans="1:21" x14ac:dyDescent="0.2">
      <c r="A21">
        <v>2024</v>
      </c>
      <c r="B21" s="9" t="s">
        <v>51</v>
      </c>
      <c r="C21" s="9" t="s">
        <v>108</v>
      </c>
      <c r="D21" t="s">
        <v>100</v>
      </c>
      <c r="E21">
        <v>2</v>
      </c>
      <c r="F21">
        <v>2</v>
      </c>
      <c r="G21">
        <v>3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3</v>
      </c>
      <c r="O21">
        <v>2</v>
      </c>
      <c r="P21">
        <v>4</v>
      </c>
      <c r="Q21">
        <v>1</v>
      </c>
      <c r="R21">
        <f t="shared" si="0"/>
        <v>29</v>
      </c>
      <c r="S21">
        <f t="shared" si="1"/>
        <v>13</v>
      </c>
      <c r="T21">
        <f t="shared" si="3"/>
        <v>16</v>
      </c>
    </row>
    <row r="22" spans="1:21" x14ac:dyDescent="0.2">
      <c r="A22">
        <v>2024</v>
      </c>
      <c r="B22" s="9" t="s">
        <v>53</v>
      </c>
      <c r="C22" s="9" t="s">
        <v>108</v>
      </c>
      <c r="D22" t="s">
        <v>100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4</v>
      </c>
      <c r="Q22">
        <v>2</v>
      </c>
      <c r="R22">
        <f t="shared" si="0"/>
        <v>28</v>
      </c>
      <c r="S22">
        <f t="shared" si="1"/>
        <v>13</v>
      </c>
      <c r="T22">
        <f t="shared" si="3"/>
        <v>15</v>
      </c>
    </row>
    <row r="23" spans="1:21" x14ac:dyDescent="0.2">
      <c r="A23">
        <v>2024</v>
      </c>
      <c r="B23" t="s">
        <v>54</v>
      </c>
      <c r="C23" s="9" t="s">
        <v>108</v>
      </c>
      <c r="D23" t="s">
        <v>100</v>
      </c>
      <c r="E23">
        <v>3</v>
      </c>
      <c r="F23">
        <v>4</v>
      </c>
      <c r="G23">
        <v>2</v>
      </c>
      <c r="H23">
        <v>2</v>
      </c>
      <c r="I23">
        <v>3</v>
      </c>
      <c r="J23">
        <v>4</v>
      </c>
      <c r="K23">
        <v>4</v>
      </c>
      <c r="L23">
        <v>3</v>
      </c>
      <c r="M23">
        <v>4</v>
      </c>
      <c r="N23">
        <v>3</v>
      </c>
      <c r="O23">
        <v>3</v>
      </c>
      <c r="P23">
        <v>4</v>
      </c>
      <c r="Q23">
        <v>1</v>
      </c>
      <c r="R23">
        <f t="shared" si="0"/>
        <v>40</v>
      </c>
      <c r="S23">
        <f t="shared" si="1"/>
        <v>13</v>
      </c>
      <c r="T23">
        <f t="shared" si="3"/>
        <v>27</v>
      </c>
    </row>
    <row r="24" spans="1:21" x14ac:dyDescent="0.2">
      <c r="A24">
        <v>2024</v>
      </c>
      <c r="B24" t="s">
        <v>55</v>
      </c>
      <c r="C24" s="9" t="s">
        <v>108</v>
      </c>
      <c r="D24" t="s">
        <v>100</v>
      </c>
      <c r="E24">
        <v>3</v>
      </c>
      <c r="F24">
        <v>3</v>
      </c>
      <c r="G24">
        <v>3</v>
      </c>
      <c r="H24">
        <v>3</v>
      </c>
      <c r="I24">
        <v>3</v>
      </c>
      <c r="J24">
        <v>2</v>
      </c>
      <c r="K24">
        <v>2</v>
      </c>
      <c r="L24">
        <v>2</v>
      </c>
      <c r="M24">
        <v>2</v>
      </c>
      <c r="N24">
        <v>3</v>
      </c>
      <c r="O24">
        <v>2</v>
      </c>
      <c r="P24">
        <v>4</v>
      </c>
      <c r="Q24">
        <v>1</v>
      </c>
      <c r="R24">
        <f t="shared" si="0"/>
        <v>33</v>
      </c>
      <c r="S24">
        <f t="shared" si="1"/>
        <v>13</v>
      </c>
      <c r="T24">
        <f t="shared" si="3"/>
        <v>20</v>
      </c>
    </row>
    <row r="25" spans="1:21" x14ac:dyDescent="0.2">
      <c r="A25">
        <v>2024</v>
      </c>
      <c r="B25" t="s">
        <v>56</v>
      </c>
      <c r="C25" s="9" t="s">
        <v>108</v>
      </c>
      <c r="D25" t="s">
        <v>100</v>
      </c>
      <c r="E25" s="11" t="s">
        <v>102</v>
      </c>
      <c r="F25" s="11" t="s">
        <v>102</v>
      </c>
      <c r="G25" s="11">
        <v>1</v>
      </c>
      <c r="H25" s="11" t="s">
        <v>102</v>
      </c>
      <c r="I25" s="11" t="s">
        <v>102</v>
      </c>
      <c r="J25" s="11" t="s">
        <v>102</v>
      </c>
      <c r="K25" s="11" t="s">
        <v>102</v>
      </c>
      <c r="L25" s="11" t="s">
        <v>103</v>
      </c>
      <c r="M25" s="11" t="s">
        <v>103</v>
      </c>
      <c r="N25" s="11" t="s">
        <v>103</v>
      </c>
      <c r="O25" s="11" t="s">
        <v>103</v>
      </c>
      <c r="P25">
        <v>4</v>
      </c>
      <c r="Q25">
        <v>2</v>
      </c>
      <c r="R25">
        <f t="shared" si="0"/>
        <v>7</v>
      </c>
      <c r="S25">
        <f t="shared" si="1"/>
        <v>3</v>
      </c>
      <c r="T25">
        <f t="shared" si="3"/>
        <v>4</v>
      </c>
      <c r="U25" t="s">
        <v>105</v>
      </c>
    </row>
    <row r="26" spans="1:21" x14ac:dyDescent="0.2">
      <c r="A26">
        <v>2024</v>
      </c>
      <c r="B26" t="s">
        <v>57</v>
      </c>
      <c r="C26" s="9" t="s">
        <v>108</v>
      </c>
      <c r="D26" t="s">
        <v>100</v>
      </c>
      <c r="E26">
        <v>4</v>
      </c>
      <c r="F26">
        <v>4</v>
      </c>
      <c r="G26">
        <v>4</v>
      </c>
      <c r="H26">
        <v>3</v>
      </c>
      <c r="I26">
        <v>4</v>
      </c>
      <c r="J26">
        <v>4</v>
      </c>
      <c r="K26">
        <v>4</v>
      </c>
      <c r="L26">
        <v>2</v>
      </c>
      <c r="M26">
        <v>3</v>
      </c>
      <c r="N26">
        <v>2</v>
      </c>
      <c r="O26">
        <v>2</v>
      </c>
      <c r="P26">
        <v>4</v>
      </c>
      <c r="Q26">
        <v>4</v>
      </c>
      <c r="R26">
        <f t="shared" si="0"/>
        <v>44</v>
      </c>
      <c r="S26">
        <f t="shared" si="1"/>
        <v>13</v>
      </c>
      <c r="T26">
        <f t="shared" si="3"/>
        <v>31</v>
      </c>
    </row>
    <row r="27" spans="1:21" x14ac:dyDescent="0.2">
      <c r="A27">
        <v>2024</v>
      </c>
      <c r="B27" s="9" t="s">
        <v>58</v>
      </c>
      <c r="C27" s="9" t="s">
        <v>108</v>
      </c>
      <c r="D27" t="s">
        <v>100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3</v>
      </c>
      <c r="O27">
        <v>2</v>
      </c>
      <c r="P27" s="10" t="s">
        <v>101</v>
      </c>
      <c r="Q27" s="10" t="s">
        <v>101</v>
      </c>
      <c r="R27">
        <f t="shared" si="0"/>
        <v>23</v>
      </c>
      <c r="S27">
        <f t="shared" si="1"/>
        <v>11</v>
      </c>
      <c r="T27">
        <f t="shared" si="3"/>
        <v>12</v>
      </c>
    </row>
    <row r="28" spans="1:21" x14ac:dyDescent="0.2">
      <c r="A28">
        <v>2024</v>
      </c>
      <c r="B28" t="s">
        <v>59</v>
      </c>
      <c r="C28" s="9" t="s">
        <v>108</v>
      </c>
      <c r="D28" t="s">
        <v>100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1</v>
      </c>
      <c r="Q28">
        <v>1</v>
      </c>
      <c r="R28">
        <f t="shared" si="0"/>
        <v>24</v>
      </c>
      <c r="S28">
        <f t="shared" si="1"/>
        <v>13</v>
      </c>
      <c r="T28">
        <f t="shared" si="3"/>
        <v>11</v>
      </c>
    </row>
    <row r="29" spans="1:21" x14ac:dyDescent="0.2">
      <c r="A29">
        <v>2024</v>
      </c>
      <c r="B29" t="s">
        <v>60</v>
      </c>
      <c r="C29" s="9" t="s">
        <v>108</v>
      </c>
      <c r="D29" t="s">
        <v>100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1</v>
      </c>
      <c r="N29">
        <v>2</v>
      </c>
      <c r="O29">
        <v>2</v>
      </c>
      <c r="P29">
        <v>2</v>
      </c>
      <c r="Q29">
        <v>1</v>
      </c>
      <c r="R29">
        <f t="shared" si="0"/>
        <v>24</v>
      </c>
      <c r="S29">
        <f t="shared" si="1"/>
        <v>13</v>
      </c>
      <c r="T29">
        <f t="shared" si="3"/>
        <v>11</v>
      </c>
    </row>
    <row r="30" spans="1:21" x14ac:dyDescent="0.2">
      <c r="A30">
        <v>2024</v>
      </c>
      <c r="B30" t="s">
        <v>61</v>
      </c>
      <c r="C30" s="9" t="s">
        <v>108</v>
      </c>
      <c r="D30" t="s">
        <v>100</v>
      </c>
      <c r="E30">
        <v>3</v>
      </c>
      <c r="F30">
        <v>3</v>
      </c>
      <c r="G30">
        <v>2</v>
      </c>
      <c r="H30">
        <v>3</v>
      </c>
      <c r="I30">
        <v>3</v>
      </c>
      <c r="J30">
        <v>3</v>
      </c>
      <c r="K30">
        <v>3</v>
      </c>
      <c r="L30">
        <v>3</v>
      </c>
      <c r="M30">
        <v>2</v>
      </c>
      <c r="N30">
        <v>3</v>
      </c>
      <c r="O30">
        <v>3</v>
      </c>
      <c r="P30">
        <v>4</v>
      </c>
      <c r="Q30">
        <v>3</v>
      </c>
      <c r="R30">
        <f t="shared" si="0"/>
        <v>38</v>
      </c>
      <c r="S30">
        <f t="shared" si="1"/>
        <v>13</v>
      </c>
      <c r="T30">
        <f t="shared" si="3"/>
        <v>25</v>
      </c>
    </row>
    <row r="31" spans="1:21" x14ac:dyDescent="0.2">
      <c r="A31">
        <v>2024</v>
      </c>
      <c r="B31" t="s">
        <v>62</v>
      </c>
      <c r="C31" s="9" t="s">
        <v>108</v>
      </c>
      <c r="D31" t="s">
        <v>100</v>
      </c>
      <c r="E31">
        <v>3</v>
      </c>
      <c r="F31">
        <v>3</v>
      </c>
      <c r="G31">
        <v>3</v>
      </c>
      <c r="H31">
        <v>3</v>
      </c>
      <c r="I31">
        <v>4</v>
      </c>
      <c r="J31">
        <v>3</v>
      </c>
      <c r="K31">
        <v>3</v>
      </c>
      <c r="L31">
        <v>4</v>
      </c>
      <c r="M31">
        <v>3</v>
      </c>
      <c r="N31">
        <v>3</v>
      </c>
      <c r="O31">
        <v>4</v>
      </c>
      <c r="P31">
        <v>4</v>
      </c>
      <c r="Q31">
        <v>3</v>
      </c>
      <c r="R31">
        <f t="shared" si="0"/>
        <v>43</v>
      </c>
      <c r="S31">
        <f t="shared" si="1"/>
        <v>13</v>
      </c>
      <c r="T31">
        <f t="shared" si="3"/>
        <v>30</v>
      </c>
    </row>
    <row r="32" spans="1:21" x14ac:dyDescent="0.2">
      <c r="A32">
        <v>2024</v>
      </c>
      <c r="B32" t="s">
        <v>64</v>
      </c>
      <c r="C32" s="9" t="s">
        <v>108</v>
      </c>
      <c r="D32" t="s">
        <v>100</v>
      </c>
      <c r="E32">
        <v>2</v>
      </c>
      <c r="F32">
        <v>2</v>
      </c>
      <c r="G32">
        <v>2</v>
      </c>
      <c r="H32">
        <v>2</v>
      </c>
      <c r="I32">
        <v>2</v>
      </c>
      <c r="J32">
        <v>1</v>
      </c>
      <c r="K32">
        <v>2</v>
      </c>
      <c r="L32">
        <v>3</v>
      </c>
      <c r="M32">
        <v>2</v>
      </c>
      <c r="N32">
        <v>2</v>
      </c>
      <c r="O32">
        <v>2</v>
      </c>
      <c r="P32" s="10" t="s">
        <v>101</v>
      </c>
      <c r="Q32" s="10" t="s">
        <v>101</v>
      </c>
      <c r="R32">
        <f t="shared" si="0"/>
        <v>22</v>
      </c>
      <c r="S32">
        <f t="shared" si="1"/>
        <v>11</v>
      </c>
      <c r="T32">
        <f t="shared" si="3"/>
        <v>11</v>
      </c>
    </row>
    <row r="33" spans="1:20" x14ac:dyDescent="0.2">
      <c r="A33">
        <v>2024</v>
      </c>
      <c r="B33" t="s">
        <v>66</v>
      </c>
      <c r="C33" s="9" t="s">
        <v>108</v>
      </c>
      <c r="D33" t="s">
        <v>100</v>
      </c>
      <c r="E33">
        <v>3</v>
      </c>
      <c r="F33">
        <v>4</v>
      </c>
      <c r="G33">
        <v>3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3</v>
      </c>
      <c r="O33">
        <v>4</v>
      </c>
      <c r="P33">
        <v>4</v>
      </c>
      <c r="Q33">
        <v>3</v>
      </c>
      <c r="R33">
        <f t="shared" si="0"/>
        <v>48</v>
      </c>
      <c r="S33">
        <f t="shared" si="1"/>
        <v>13</v>
      </c>
      <c r="T33">
        <f t="shared" si="3"/>
        <v>35</v>
      </c>
    </row>
    <row r="34" spans="1:20" x14ac:dyDescent="0.2">
      <c r="A34">
        <v>2024</v>
      </c>
      <c r="B34" t="s">
        <v>67</v>
      </c>
      <c r="C34" s="9" t="s">
        <v>108</v>
      </c>
      <c r="D34" t="s">
        <v>100</v>
      </c>
      <c r="E34">
        <v>2</v>
      </c>
      <c r="F34">
        <v>2</v>
      </c>
      <c r="G34">
        <v>2</v>
      </c>
      <c r="H34">
        <v>2</v>
      </c>
      <c r="I34">
        <v>2</v>
      </c>
      <c r="J34">
        <v>3</v>
      </c>
      <c r="K34">
        <v>3</v>
      </c>
      <c r="L34">
        <v>2</v>
      </c>
      <c r="M34">
        <v>2</v>
      </c>
      <c r="N34">
        <v>2</v>
      </c>
      <c r="O34">
        <v>2</v>
      </c>
      <c r="P34">
        <v>4</v>
      </c>
      <c r="Q34">
        <v>1</v>
      </c>
      <c r="R34">
        <f t="shared" ref="R34:R65" si="4">SUM(E34:Q34)</f>
        <v>29</v>
      </c>
      <c r="S34">
        <f t="shared" ref="S34:S65" si="5">COUNT(E34:Q34)</f>
        <v>13</v>
      </c>
      <c r="T34">
        <f t="shared" si="3"/>
        <v>16</v>
      </c>
    </row>
    <row r="35" spans="1:20" x14ac:dyDescent="0.2">
      <c r="A35">
        <v>2024</v>
      </c>
      <c r="B35" s="9" t="s">
        <v>68</v>
      </c>
      <c r="C35" s="9" t="s">
        <v>108</v>
      </c>
      <c r="D35" t="s">
        <v>100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 s="10" t="s">
        <v>101</v>
      </c>
      <c r="Q35" s="10" t="s">
        <v>101</v>
      </c>
      <c r="R35">
        <f t="shared" si="4"/>
        <v>22</v>
      </c>
      <c r="S35">
        <f t="shared" si="5"/>
        <v>11</v>
      </c>
      <c r="T35">
        <f t="shared" si="3"/>
        <v>11</v>
      </c>
    </row>
    <row r="36" spans="1:20" x14ac:dyDescent="0.2">
      <c r="A36">
        <v>2024</v>
      </c>
      <c r="B36" s="9" t="s">
        <v>69</v>
      </c>
      <c r="C36" s="9" t="s">
        <v>108</v>
      </c>
      <c r="D36" t="s">
        <v>100</v>
      </c>
      <c r="E36">
        <v>3</v>
      </c>
      <c r="F36">
        <v>3</v>
      </c>
      <c r="G36">
        <v>2</v>
      </c>
      <c r="H36">
        <v>2</v>
      </c>
      <c r="I36">
        <v>3</v>
      </c>
      <c r="J36">
        <v>2</v>
      </c>
      <c r="K36">
        <v>2</v>
      </c>
      <c r="L36">
        <v>2</v>
      </c>
      <c r="M36">
        <v>2</v>
      </c>
      <c r="N36">
        <v>2</v>
      </c>
      <c r="O36">
        <v>3</v>
      </c>
      <c r="P36">
        <v>4</v>
      </c>
      <c r="Q36">
        <v>2</v>
      </c>
      <c r="R36">
        <f t="shared" si="4"/>
        <v>32</v>
      </c>
      <c r="S36">
        <f t="shared" si="5"/>
        <v>13</v>
      </c>
      <c r="T36">
        <f t="shared" si="3"/>
        <v>19</v>
      </c>
    </row>
    <row r="37" spans="1:20" x14ac:dyDescent="0.2">
      <c r="A37">
        <v>2024</v>
      </c>
      <c r="B37" t="s">
        <v>70</v>
      </c>
      <c r="C37" s="9" t="s">
        <v>108</v>
      </c>
      <c r="D37" t="s">
        <v>100</v>
      </c>
      <c r="E37">
        <v>3</v>
      </c>
      <c r="F37">
        <v>3</v>
      </c>
      <c r="G37">
        <v>2</v>
      </c>
      <c r="H37">
        <v>2</v>
      </c>
      <c r="I37">
        <v>3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4</v>
      </c>
      <c r="Q37">
        <v>1</v>
      </c>
      <c r="R37">
        <f t="shared" si="4"/>
        <v>30</v>
      </c>
      <c r="S37">
        <f t="shared" si="5"/>
        <v>13</v>
      </c>
      <c r="T37">
        <f t="shared" si="3"/>
        <v>17</v>
      </c>
    </row>
    <row r="38" spans="1:20" x14ac:dyDescent="0.2">
      <c r="A38">
        <v>2024</v>
      </c>
      <c r="B38" t="s">
        <v>72</v>
      </c>
      <c r="C38" s="9" t="s">
        <v>108</v>
      </c>
      <c r="D38" t="s">
        <v>100</v>
      </c>
      <c r="E38">
        <v>3</v>
      </c>
      <c r="F38">
        <v>3</v>
      </c>
      <c r="G38">
        <v>2</v>
      </c>
      <c r="H38">
        <v>3</v>
      </c>
      <c r="I38">
        <v>3</v>
      </c>
      <c r="J38">
        <v>3</v>
      </c>
      <c r="K38">
        <v>3</v>
      </c>
      <c r="L38">
        <v>3</v>
      </c>
      <c r="M38">
        <v>2</v>
      </c>
      <c r="N38">
        <v>3</v>
      </c>
      <c r="O38">
        <v>3</v>
      </c>
      <c r="P38">
        <v>4</v>
      </c>
      <c r="Q38">
        <v>2</v>
      </c>
      <c r="R38">
        <f t="shared" si="4"/>
        <v>37</v>
      </c>
      <c r="S38">
        <f t="shared" si="5"/>
        <v>13</v>
      </c>
      <c r="T38">
        <f t="shared" si="3"/>
        <v>24</v>
      </c>
    </row>
    <row r="39" spans="1:20" x14ac:dyDescent="0.2">
      <c r="A39">
        <v>2024</v>
      </c>
      <c r="B39" t="s">
        <v>73</v>
      </c>
      <c r="C39" s="9" t="s">
        <v>108</v>
      </c>
      <c r="D39" t="s">
        <v>100</v>
      </c>
      <c r="E39">
        <v>2</v>
      </c>
      <c r="F39">
        <v>2</v>
      </c>
      <c r="G39">
        <v>2</v>
      </c>
      <c r="H39">
        <v>2</v>
      </c>
      <c r="I39">
        <v>2</v>
      </c>
      <c r="J39">
        <v>1</v>
      </c>
      <c r="K39">
        <v>1</v>
      </c>
      <c r="L39">
        <v>1</v>
      </c>
      <c r="M39">
        <v>2</v>
      </c>
      <c r="N39">
        <v>2</v>
      </c>
      <c r="O39">
        <v>1</v>
      </c>
      <c r="P39">
        <v>1</v>
      </c>
      <c r="Q39">
        <v>1</v>
      </c>
      <c r="R39">
        <f t="shared" si="4"/>
        <v>20</v>
      </c>
      <c r="S39">
        <f t="shared" si="5"/>
        <v>13</v>
      </c>
      <c r="T39">
        <f t="shared" si="3"/>
        <v>7</v>
      </c>
    </row>
    <row r="40" spans="1:20" x14ac:dyDescent="0.2">
      <c r="A40">
        <v>2024</v>
      </c>
      <c r="B40" t="s">
        <v>74</v>
      </c>
      <c r="C40" s="9" t="s">
        <v>108</v>
      </c>
      <c r="D40" t="s">
        <v>100</v>
      </c>
      <c r="E40">
        <v>3</v>
      </c>
      <c r="F40">
        <v>4</v>
      </c>
      <c r="G40">
        <v>3</v>
      </c>
      <c r="H40">
        <v>3</v>
      </c>
      <c r="I40">
        <v>4</v>
      </c>
      <c r="J40">
        <v>3</v>
      </c>
      <c r="K40">
        <v>3</v>
      </c>
      <c r="L40">
        <v>3</v>
      </c>
      <c r="M40">
        <v>2</v>
      </c>
      <c r="N40">
        <v>2</v>
      </c>
      <c r="O40">
        <v>3</v>
      </c>
      <c r="P40">
        <v>4</v>
      </c>
      <c r="Q40">
        <v>3</v>
      </c>
      <c r="R40">
        <f t="shared" si="4"/>
        <v>40</v>
      </c>
      <c r="S40">
        <f t="shared" si="5"/>
        <v>13</v>
      </c>
      <c r="T40">
        <f t="shared" si="3"/>
        <v>27</v>
      </c>
    </row>
    <row r="41" spans="1:20" x14ac:dyDescent="0.2">
      <c r="A41">
        <v>2024</v>
      </c>
      <c r="B41" s="9" t="s">
        <v>76</v>
      </c>
      <c r="C41" s="9" t="s">
        <v>108</v>
      </c>
      <c r="D41" t="s">
        <v>100</v>
      </c>
      <c r="E41">
        <v>4</v>
      </c>
      <c r="F41">
        <v>4</v>
      </c>
      <c r="G41">
        <v>4</v>
      </c>
      <c r="H41">
        <v>4</v>
      </c>
      <c r="I41">
        <v>4</v>
      </c>
      <c r="J41">
        <v>3</v>
      </c>
      <c r="K41">
        <v>3</v>
      </c>
      <c r="L41">
        <v>4</v>
      </c>
      <c r="M41">
        <v>2</v>
      </c>
      <c r="N41">
        <v>4</v>
      </c>
      <c r="O41">
        <v>4</v>
      </c>
      <c r="P41">
        <v>4</v>
      </c>
      <c r="Q41">
        <v>4</v>
      </c>
      <c r="R41">
        <f t="shared" si="4"/>
        <v>48</v>
      </c>
      <c r="S41">
        <f t="shared" si="5"/>
        <v>13</v>
      </c>
      <c r="T41">
        <f t="shared" si="3"/>
        <v>35</v>
      </c>
    </row>
    <row r="42" spans="1:20" x14ac:dyDescent="0.2">
      <c r="A42">
        <v>2024</v>
      </c>
      <c r="B42" t="s">
        <v>77</v>
      </c>
      <c r="C42" s="9" t="s">
        <v>108</v>
      </c>
      <c r="D42" t="s">
        <v>100</v>
      </c>
      <c r="E42">
        <v>3</v>
      </c>
      <c r="F42">
        <v>3</v>
      </c>
      <c r="G42">
        <v>2</v>
      </c>
      <c r="H42">
        <v>3</v>
      </c>
      <c r="I42">
        <v>3</v>
      </c>
      <c r="J42">
        <v>3</v>
      </c>
      <c r="K42">
        <v>3</v>
      </c>
      <c r="L42">
        <v>2</v>
      </c>
      <c r="M42">
        <v>2</v>
      </c>
      <c r="N42">
        <v>3</v>
      </c>
      <c r="O42">
        <v>3</v>
      </c>
      <c r="P42">
        <v>4</v>
      </c>
      <c r="Q42">
        <v>1</v>
      </c>
      <c r="R42">
        <f t="shared" si="4"/>
        <v>35</v>
      </c>
      <c r="S42">
        <f t="shared" si="5"/>
        <v>13</v>
      </c>
      <c r="T42">
        <f t="shared" si="3"/>
        <v>22</v>
      </c>
    </row>
    <row r="43" spans="1:20" x14ac:dyDescent="0.2">
      <c r="A43">
        <v>2024</v>
      </c>
      <c r="B43" t="s">
        <v>78</v>
      </c>
      <c r="C43" s="9" t="s">
        <v>108</v>
      </c>
      <c r="D43" t="s">
        <v>100</v>
      </c>
      <c r="E43">
        <v>3</v>
      </c>
      <c r="F43">
        <v>3</v>
      </c>
      <c r="G43">
        <v>2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3</v>
      </c>
      <c r="O43">
        <v>3</v>
      </c>
      <c r="P43">
        <v>4</v>
      </c>
      <c r="Q43">
        <v>4</v>
      </c>
      <c r="R43">
        <f t="shared" si="4"/>
        <v>40</v>
      </c>
      <c r="S43">
        <f t="shared" si="5"/>
        <v>13</v>
      </c>
      <c r="T43">
        <f t="shared" si="3"/>
        <v>27</v>
      </c>
    </row>
    <row r="44" spans="1:20" x14ac:dyDescent="0.2">
      <c r="A44">
        <v>2024</v>
      </c>
      <c r="B44" t="s">
        <v>79</v>
      </c>
      <c r="C44" s="9" t="s">
        <v>108</v>
      </c>
      <c r="D44" t="s">
        <v>100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4</v>
      </c>
      <c r="Q44">
        <v>1</v>
      </c>
      <c r="R44">
        <f t="shared" si="4"/>
        <v>27</v>
      </c>
      <c r="S44">
        <f t="shared" si="5"/>
        <v>13</v>
      </c>
      <c r="T44">
        <f t="shared" si="3"/>
        <v>14</v>
      </c>
    </row>
    <row r="45" spans="1:20" x14ac:dyDescent="0.2">
      <c r="A45">
        <v>2024</v>
      </c>
      <c r="B45" t="s">
        <v>80</v>
      </c>
      <c r="C45" s="9" t="s">
        <v>108</v>
      </c>
      <c r="D45" t="s">
        <v>100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2</v>
      </c>
      <c r="N45">
        <v>3</v>
      </c>
      <c r="O45">
        <v>3</v>
      </c>
      <c r="P45">
        <v>3</v>
      </c>
      <c r="Q45">
        <v>2</v>
      </c>
      <c r="R45">
        <f t="shared" si="4"/>
        <v>37</v>
      </c>
      <c r="S45">
        <f t="shared" si="5"/>
        <v>13</v>
      </c>
      <c r="T45">
        <f t="shared" si="3"/>
        <v>24</v>
      </c>
    </row>
    <row r="46" spans="1:20" x14ac:dyDescent="0.2">
      <c r="A46">
        <v>2024</v>
      </c>
      <c r="B46" t="s">
        <v>23</v>
      </c>
      <c r="C46" t="s">
        <v>108</v>
      </c>
      <c r="D46" t="s">
        <v>104</v>
      </c>
      <c r="E46">
        <v>2</v>
      </c>
      <c r="F46">
        <v>2</v>
      </c>
      <c r="G46">
        <v>2</v>
      </c>
      <c r="H46">
        <v>2</v>
      </c>
      <c r="I46">
        <v>2</v>
      </c>
      <c r="J46">
        <v>3</v>
      </c>
      <c r="K46">
        <v>2</v>
      </c>
      <c r="L46">
        <v>2</v>
      </c>
      <c r="M46">
        <v>2</v>
      </c>
      <c r="N46">
        <v>3</v>
      </c>
      <c r="O46">
        <v>3</v>
      </c>
      <c r="R46">
        <f t="shared" si="4"/>
        <v>25</v>
      </c>
      <c r="S46">
        <f t="shared" si="5"/>
        <v>11</v>
      </c>
      <c r="T46">
        <f t="shared" ref="T46:T79" si="6">R46-S46</f>
        <v>14</v>
      </c>
    </row>
    <row r="47" spans="1:20" x14ac:dyDescent="0.2">
      <c r="A47">
        <v>2024</v>
      </c>
      <c r="B47" t="s">
        <v>26</v>
      </c>
      <c r="C47" t="s">
        <v>108</v>
      </c>
      <c r="D47" t="s">
        <v>104</v>
      </c>
      <c r="E47">
        <v>2</v>
      </c>
      <c r="F47">
        <v>2</v>
      </c>
      <c r="G47">
        <v>3</v>
      </c>
      <c r="H47">
        <v>2</v>
      </c>
      <c r="I47">
        <v>2</v>
      </c>
      <c r="J47">
        <v>1</v>
      </c>
      <c r="K47">
        <v>2</v>
      </c>
      <c r="L47">
        <v>2</v>
      </c>
      <c r="M47">
        <v>2</v>
      </c>
      <c r="N47">
        <v>2</v>
      </c>
      <c r="O47">
        <v>2</v>
      </c>
      <c r="P47">
        <v>1</v>
      </c>
      <c r="Q47">
        <v>1</v>
      </c>
      <c r="R47">
        <f t="shared" si="4"/>
        <v>24</v>
      </c>
      <c r="S47">
        <f t="shared" si="5"/>
        <v>13</v>
      </c>
      <c r="T47">
        <f t="shared" si="6"/>
        <v>11</v>
      </c>
    </row>
    <row r="48" spans="1:20" x14ac:dyDescent="0.2">
      <c r="A48">
        <v>2024</v>
      </c>
      <c r="B48" t="s">
        <v>27</v>
      </c>
      <c r="C48" t="s">
        <v>108</v>
      </c>
      <c r="D48" t="s">
        <v>104</v>
      </c>
      <c r="E48">
        <v>2</v>
      </c>
      <c r="F48">
        <v>2</v>
      </c>
      <c r="G48">
        <v>2</v>
      </c>
      <c r="H48">
        <v>2</v>
      </c>
      <c r="I48">
        <v>2</v>
      </c>
      <c r="J48">
        <v>1</v>
      </c>
      <c r="K48">
        <v>2</v>
      </c>
      <c r="L48">
        <v>2</v>
      </c>
      <c r="M48">
        <v>2</v>
      </c>
      <c r="N48">
        <v>2</v>
      </c>
      <c r="O48">
        <v>2</v>
      </c>
      <c r="P48" s="10" t="s">
        <v>101</v>
      </c>
      <c r="Q48" s="10" t="s">
        <v>101</v>
      </c>
      <c r="R48">
        <f t="shared" si="4"/>
        <v>21</v>
      </c>
      <c r="S48">
        <f t="shared" si="5"/>
        <v>11</v>
      </c>
      <c r="T48">
        <f t="shared" si="6"/>
        <v>10</v>
      </c>
    </row>
    <row r="49" spans="1:21" x14ac:dyDescent="0.2">
      <c r="A49">
        <v>2024</v>
      </c>
      <c r="B49" t="s">
        <v>30</v>
      </c>
      <c r="C49" t="s">
        <v>108</v>
      </c>
      <c r="D49" t="s">
        <v>104</v>
      </c>
      <c r="E49">
        <v>3</v>
      </c>
      <c r="F49">
        <v>3</v>
      </c>
      <c r="G49">
        <v>2</v>
      </c>
      <c r="H49">
        <v>2</v>
      </c>
      <c r="I49">
        <v>3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f t="shared" si="4"/>
        <v>29</v>
      </c>
      <c r="S49">
        <f t="shared" si="5"/>
        <v>13</v>
      </c>
      <c r="T49">
        <f t="shared" si="6"/>
        <v>16</v>
      </c>
    </row>
    <row r="50" spans="1:21" x14ac:dyDescent="0.2">
      <c r="A50">
        <v>2024</v>
      </c>
      <c r="B50" t="s">
        <v>34</v>
      </c>
      <c r="C50" t="s">
        <v>108</v>
      </c>
      <c r="D50" t="s">
        <v>104</v>
      </c>
      <c r="E50">
        <v>1</v>
      </c>
      <c r="F50">
        <v>1</v>
      </c>
      <c r="G50">
        <v>1</v>
      </c>
      <c r="H50">
        <v>2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 s="10" t="s">
        <v>101</v>
      </c>
      <c r="Q50" s="10" t="s">
        <v>101</v>
      </c>
      <c r="R50">
        <f t="shared" si="4"/>
        <v>12</v>
      </c>
      <c r="S50">
        <f t="shared" si="5"/>
        <v>11</v>
      </c>
      <c r="T50">
        <f t="shared" si="6"/>
        <v>1</v>
      </c>
    </row>
    <row r="51" spans="1:21" x14ac:dyDescent="0.2">
      <c r="A51">
        <v>2024</v>
      </c>
      <c r="B51" t="s">
        <v>36</v>
      </c>
      <c r="C51" t="s">
        <v>108</v>
      </c>
      <c r="D51" t="s">
        <v>104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1</v>
      </c>
      <c r="Q51" s="10" t="s">
        <v>101</v>
      </c>
      <c r="R51">
        <f t="shared" si="4"/>
        <v>23</v>
      </c>
      <c r="S51">
        <f t="shared" si="5"/>
        <v>12</v>
      </c>
      <c r="T51">
        <f t="shared" si="6"/>
        <v>11</v>
      </c>
    </row>
    <row r="52" spans="1:21" x14ac:dyDescent="0.2">
      <c r="A52">
        <v>2024</v>
      </c>
      <c r="B52" t="s">
        <v>37</v>
      </c>
      <c r="C52" t="s">
        <v>108</v>
      </c>
      <c r="D52" t="s">
        <v>104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3</v>
      </c>
      <c r="O52">
        <v>2</v>
      </c>
      <c r="P52" s="10" t="s">
        <v>101</v>
      </c>
      <c r="Q52">
        <v>1</v>
      </c>
      <c r="R52">
        <f t="shared" si="4"/>
        <v>24</v>
      </c>
      <c r="S52">
        <f t="shared" si="5"/>
        <v>12</v>
      </c>
      <c r="T52">
        <f t="shared" si="6"/>
        <v>12</v>
      </c>
    </row>
    <row r="53" spans="1:21" x14ac:dyDescent="0.2">
      <c r="A53">
        <v>2024</v>
      </c>
      <c r="B53" t="s">
        <v>38</v>
      </c>
      <c r="C53" t="s">
        <v>108</v>
      </c>
      <c r="D53" t="s">
        <v>104</v>
      </c>
      <c r="E53">
        <v>3</v>
      </c>
      <c r="F53">
        <v>3</v>
      </c>
      <c r="G53">
        <v>3</v>
      </c>
      <c r="H53">
        <v>1</v>
      </c>
      <c r="I53">
        <v>2</v>
      </c>
      <c r="J53">
        <v>1</v>
      </c>
      <c r="K53">
        <v>1</v>
      </c>
      <c r="L53">
        <v>3</v>
      </c>
      <c r="M53">
        <v>3</v>
      </c>
      <c r="N53">
        <v>3</v>
      </c>
      <c r="O53">
        <v>3</v>
      </c>
      <c r="P53">
        <v>4</v>
      </c>
      <c r="Q53">
        <v>1</v>
      </c>
      <c r="R53">
        <f t="shared" si="4"/>
        <v>31</v>
      </c>
      <c r="S53">
        <f t="shared" si="5"/>
        <v>13</v>
      </c>
      <c r="T53">
        <f t="shared" si="6"/>
        <v>18</v>
      </c>
    </row>
    <row r="54" spans="1:21" x14ac:dyDescent="0.2">
      <c r="A54">
        <v>2024</v>
      </c>
      <c r="B54" t="s">
        <v>39</v>
      </c>
      <c r="C54" t="s">
        <v>108</v>
      </c>
      <c r="D54" t="s">
        <v>104</v>
      </c>
      <c r="E54">
        <v>3</v>
      </c>
      <c r="F54">
        <v>3</v>
      </c>
      <c r="G54">
        <v>2</v>
      </c>
      <c r="H54">
        <v>3</v>
      </c>
      <c r="I54">
        <v>3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f t="shared" si="4"/>
        <v>30</v>
      </c>
      <c r="S54">
        <f t="shared" si="5"/>
        <v>13</v>
      </c>
      <c r="T54">
        <f t="shared" si="6"/>
        <v>17</v>
      </c>
    </row>
    <row r="55" spans="1:21" x14ac:dyDescent="0.2">
      <c r="A55">
        <v>2024</v>
      </c>
      <c r="B55" t="s">
        <v>43</v>
      </c>
      <c r="C55" t="s">
        <v>108</v>
      </c>
      <c r="D55" t="s">
        <v>104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 s="10" t="s">
        <v>101</v>
      </c>
      <c r="Q55" s="10" t="s">
        <v>101</v>
      </c>
      <c r="R55">
        <f t="shared" si="4"/>
        <v>22</v>
      </c>
      <c r="S55">
        <f t="shared" si="5"/>
        <v>11</v>
      </c>
      <c r="T55">
        <f t="shared" si="6"/>
        <v>11</v>
      </c>
    </row>
    <row r="56" spans="1:21" x14ac:dyDescent="0.2">
      <c r="A56">
        <v>2024</v>
      </c>
      <c r="B56" t="s">
        <v>44</v>
      </c>
      <c r="C56" t="s">
        <v>108</v>
      </c>
      <c r="D56" t="s">
        <v>104</v>
      </c>
      <c r="E56">
        <v>2</v>
      </c>
      <c r="F56">
        <v>2</v>
      </c>
      <c r="G56">
        <v>2</v>
      </c>
      <c r="H56">
        <v>2</v>
      </c>
      <c r="I56">
        <v>2</v>
      </c>
      <c r="J56">
        <v>1</v>
      </c>
      <c r="K56">
        <v>2</v>
      </c>
      <c r="L56">
        <v>2</v>
      </c>
      <c r="M56">
        <v>2</v>
      </c>
      <c r="N56">
        <v>2</v>
      </c>
      <c r="O56">
        <v>2</v>
      </c>
      <c r="P56" s="10" t="s">
        <v>101</v>
      </c>
      <c r="Q56" s="10" t="s">
        <v>101</v>
      </c>
      <c r="R56">
        <f t="shared" si="4"/>
        <v>21</v>
      </c>
      <c r="S56">
        <f t="shared" si="5"/>
        <v>11</v>
      </c>
      <c r="T56">
        <f t="shared" si="6"/>
        <v>10</v>
      </c>
    </row>
    <row r="57" spans="1:21" x14ac:dyDescent="0.2">
      <c r="A57">
        <v>2024</v>
      </c>
      <c r="B57" t="s">
        <v>45</v>
      </c>
      <c r="C57" t="s">
        <v>108</v>
      </c>
      <c r="D57" t="s">
        <v>104</v>
      </c>
      <c r="E57">
        <v>2</v>
      </c>
      <c r="F57">
        <v>2</v>
      </c>
      <c r="G57">
        <v>2</v>
      </c>
      <c r="H57">
        <v>2</v>
      </c>
      <c r="I57">
        <v>2</v>
      </c>
      <c r="J57">
        <v>1</v>
      </c>
      <c r="K57">
        <v>1</v>
      </c>
      <c r="L57">
        <v>2</v>
      </c>
      <c r="M57">
        <v>2</v>
      </c>
      <c r="N57">
        <v>2</v>
      </c>
      <c r="O57">
        <v>2</v>
      </c>
      <c r="P57" s="10" t="s">
        <v>101</v>
      </c>
      <c r="Q57" s="10" t="s">
        <v>101</v>
      </c>
      <c r="R57">
        <f t="shared" si="4"/>
        <v>20</v>
      </c>
      <c r="S57">
        <f t="shared" si="5"/>
        <v>11</v>
      </c>
      <c r="T57">
        <f t="shared" si="6"/>
        <v>9</v>
      </c>
    </row>
    <row r="58" spans="1:21" x14ac:dyDescent="0.2">
      <c r="A58">
        <v>2024</v>
      </c>
      <c r="B58" t="s">
        <v>46</v>
      </c>
      <c r="C58" t="s">
        <v>108</v>
      </c>
      <c r="D58" t="s">
        <v>104</v>
      </c>
      <c r="E58">
        <v>3</v>
      </c>
      <c r="F58">
        <v>3</v>
      </c>
      <c r="G58">
        <v>2</v>
      </c>
      <c r="H58">
        <v>3</v>
      </c>
      <c r="I58">
        <v>3</v>
      </c>
      <c r="J58">
        <v>3</v>
      </c>
      <c r="K58">
        <v>3</v>
      </c>
      <c r="L58">
        <v>3</v>
      </c>
      <c r="M58">
        <v>2</v>
      </c>
      <c r="N58">
        <v>2</v>
      </c>
      <c r="O58">
        <v>2</v>
      </c>
      <c r="P58">
        <v>4</v>
      </c>
      <c r="Q58">
        <v>1</v>
      </c>
      <c r="R58">
        <f t="shared" si="4"/>
        <v>34</v>
      </c>
      <c r="S58">
        <f t="shared" si="5"/>
        <v>13</v>
      </c>
      <c r="T58">
        <f t="shared" si="6"/>
        <v>21</v>
      </c>
    </row>
    <row r="59" spans="1:21" x14ac:dyDescent="0.2">
      <c r="A59">
        <v>2024</v>
      </c>
      <c r="B59" t="s">
        <v>47</v>
      </c>
      <c r="C59" t="s">
        <v>108</v>
      </c>
      <c r="D59" t="s">
        <v>104</v>
      </c>
      <c r="R59">
        <f t="shared" si="4"/>
        <v>0</v>
      </c>
      <c r="S59">
        <f t="shared" si="5"/>
        <v>0</v>
      </c>
      <c r="T59">
        <f t="shared" si="6"/>
        <v>0</v>
      </c>
      <c r="U59" t="s">
        <v>106</v>
      </c>
    </row>
    <row r="60" spans="1:21" x14ac:dyDescent="0.2">
      <c r="A60">
        <v>2024</v>
      </c>
      <c r="B60" t="s">
        <v>49</v>
      </c>
      <c r="C60" t="s">
        <v>108</v>
      </c>
      <c r="D60" t="s">
        <v>104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2</v>
      </c>
      <c r="O60">
        <v>2</v>
      </c>
      <c r="P60" s="10" t="s">
        <v>101</v>
      </c>
      <c r="Q60" s="10" t="s">
        <v>101</v>
      </c>
      <c r="R60">
        <f t="shared" si="4"/>
        <v>13</v>
      </c>
      <c r="S60">
        <f t="shared" si="5"/>
        <v>11</v>
      </c>
      <c r="T60">
        <f t="shared" si="6"/>
        <v>2</v>
      </c>
    </row>
    <row r="61" spans="1:21" x14ac:dyDescent="0.2">
      <c r="A61">
        <v>2024</v>
      </c>
      <c r="B61" t="s">
        <v>51</v>
      </c>
      <c r="C61" t="s">
        <v>108</v>
      </c>
      <c r="D61" t="s">
        <v>104</v>
      </c>
      <c r="E61">
        <v>3</v>
      </c>
      <c r="F61">
        <v>3</v>
      </c>
      <c r="G61">
        <v>3</v>
      </c>
      <c r="H61">
        <v>2</v>
      </c>
      <c r="I61">
        <v>3</v>
      </c>
      <c r="J61">
        <v>1</v>
      </c>
      <c r="K61">
        <v>2</v>
      </c>
      <c r="L61">
        <v>2</v>
      </c>
      <c r="M61">
        <v>2</v>
      </c>
      <c r="N61">
        <v>3</v>
      </c>
      <c r="O61">
        <v>3</v>
      </c>
      <c r="P61">
        <v>2</v>
      </c>
      <c r="Q61">
        <v>1</v>
      </c>
      <c r="R61">
        <f t="shared" si="4"/>
        <v>30</v>
      </c>
      <c r="S61">
        <f t="shared" si="5"/>
        <v>13</v>
      </c>
      <c r="T61">
        <f t="shared" si="6"/>
        <v>17</v>
      </c>
    </row>
    <row r="62" spans="1:21" x14ac:dyDescent="0.2">
      <c r="A62">
        <v>2024</v>
      </c>
      <c r="B62" t="s">
        <v>53</v>
      </c>
      <c r="C62" t="s">
        <v>108</v>
      </c>
      <c r="D62" t="s">
        <v>104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4</v>
      </c>
      <c r="Q62">
        <v>2</v>
      </c>
      <c r="R62">
        <f t="shared" si="4"/>
        <v>28</v>
      </c>
      <c r="S62">
        <f t="shared" si="5"/>
        <v>13</v>
      </c>
      <c r="T62">
        <f t="shared" si="6"/>
        <v>15</v>
      </c>
    </row>
    <row r="63" spans="1:21" x14ac:dyDescent="0.2">
      <c r="A63">
        <v>2024</v>
      </c>
      <c r="B63" t="s">
        <v>55</v>
      </c>
      <c r="C63" t="s">
        <v>108</v>
      </c>
      <c r="D63" t="s">
        <v>104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 s="10" t="s">
        <v>101</v>
      </c>
      <c r="Q63" s="10" t="s">
        <v>101</v>
      </c>
      <c r="R63">
        <f t="shared" si="4"/>
        <v>22</v>
      </c>
      <c r="S63">
        <f t="shared" si="5"/>
        <v>11</v>
      </c>
      <c r="T63">
        <f t="shared" si="6"/>
        <v>11</v>
      </c>
    </row>
    <row r="64" spans="1:21" x14ac:dyDescent="0.2">
      <c r="A64">
        <v>2024</v>
      </c>
      <c r="B64" t="s">
        <v>56</v>
      </c>
      <c r="C64" t="s">
        <v>108</v>
      </c>
      <c r="D64" t="s">
        <v>104</v>
      </c>
      <c r="E64">
        <v>1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1</v>
      </c>
      <c r="M64">
        <v>2</v>
      </c>
      <c r="N64">
        <v>2</v>
      </c>
      <c r="O64">
        <v>2</v>
      </c>
      <c r="P64">
        <v>4</v>
      </c>
      <c r="Q64">
        <v>1</v>
      </c>
      <c r="R64">
        <f t="shared" si="4"/>
        <v>25</v>
      </c>
      <c r="S64">
        <f t="shared" si="5"/>
        <v>13</v>
      </c>
      <c r="T64">
        <f t="shared" si="6"/>
        <v>12</v>
      </c>
    </row>
    <row r="65" spans="1:20" x14ac:dyDescent="0.2">
      <c r="A65">
        <v>2024</v>
      </c>
      <c r="B65" t="s">
        <v>57</v>
      </c>
      <c r="C65" t="s">
        <v>108</v>
      </c>
      <c r="D65" t="s">
        <v>104</v>
      </c>
      <c r="E65">
        <v>4</v>
      </c>
      <c r="F65">
        <v>4</v>
      </c>
      <c r="G65">
        <v>3</v>
      </c>
      <c r="H65">
        <v>3</v>
      </c>
      <c r="I65">
        <v>4</v>
      </c>
      <c r="J65">
        <v>1</v>
      </c>
      <c r="K65">
        <v>3</v>
      </c>
      <c r="L65">
        <v>3</v>
      </c>
      <c r="M65">
        <v>2</v>
      </c>
      <c r="N65">
        <v>2</v>
      </c>
      <c r="O65">
        <v>3</v>
      </c>
      <c r="P65">
        <v>4</v>
      </c>
      <c r="Q65">
        <v>4</v>
      </c>
      <c r="R65">
        <f t="shared" si="4"/>
        <v>40</v>
      </c>
      <c r="S65">
        <f t="shared" si="5"/>
        <v>13</v>
      </c>
      <c r="T65">
        <f t="shared" si="6"/>
        <v>27</v>
      </c>
    </row>
    <row r="66" spans="1:20" x14ac:dyDescent="0.2">
      <c r="A66">
        <v>2024</v>
      </c>
      <c r="B66" t="s">
        <v>58</v>
      </c>
      <c r="C66" t="s">
        <v>108</v>
      </c>
      <c r="D66" t="s">
        <v>104</v>
      </c>
      <c r="E66">
        <v>1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1</v>
      </c>
      <c r="Q66">
        <v>1</v>
      </c>
      <c r="R66">
        <f t="shared" ref="R66:R79" si="7">SUM(E66:Q66)</f>
        <v>23</v>
      </c>
      <c r="S66">
        <f t="shared" ref="S66:S79" si="8">COUNT(E66:Q66)</f>
        <v>13</v>
      </c>
      <c r="T66">
        <f t="shared" si="6"/>
        <v>10</v>
      </c>
    </row>
    <row r="67" spans="1:20" x14ac:dyDescent="0.2">
      <c r="A67">
        <v>2024</v>
      </c>
      <c r="B67" t="s">
        <v>61</v>
      </c>
      <c r="C67" t="s">
        <v>108</v>
      </c>
      <c r="D67" t="s">
        <v>104</v>
      </c>
      <c r="E67">
        <v>2</v>
      </c>
      <c r="F67">
        <v>2</v>
      </c>
      <c r="G67">
        <v>2</v>
      </c>
      <c r="H67">
        <v>2</v>
      </c>
      <c r="I67">
        <v>3</v>
      </c>
      <c r="J67">
        <v>1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1</v>
      </c>
      <c r="R67">
        <f t="shared" si="7"/>
        <v>25</v>
      </c>
      <c r="S67">
        <f t="shared" si="8"/>
        <v>13</v>
      </c>
      <c r="T67">
        <f t="shared" si="6"/>
        <v>12</v>
      </c>
    </row>
    <row r="68" spans="1:20" x14ac:dyDescent="0.2">
      <c r="A68">
        <v>2024</v>
      </c>
      <c r="B68" t="s">
        <v>62</v>
      </c>
      <c r="C68" t="s">
        <v>108</v>
      </c>
      <c r="D68" t="s">
        <v>104</v>
      </c>
      <c r="E68">
        <v>3</v>
      </c>
      <c r="F68">
        <v>3</v>
      </c>
      <c r="G68">
        <v>3</v>
      </c>
      <c r="H68">
        <v>3</v>
      </c>
      <c r="I68">
        <v>3</v>
      </c>
      <c r="J68">
        <v>2</v>
      </c>
      <c r="K68">
        <v>2</v>
      </c>
      <c r="L68">
        <v>3</v>
      </c>
      <c r="M68">
        <v>3</v>
      </c>
      <c r="N68">
        <v>3</v>
      </c>
      <c r="O68">
        <v>3</v>
      </c>
      <c r="P68">
        <v>2</v>
      </c>
      <c r="Q68">
        <v>2</v>
      </c>
      <c r="R68">
        <f t="shared" si="7"/>
        <v>35</v>
      </c>
      <c r="S68">
        <f t="shared" si="8"/>
        <v>13</v>
      </c>
      <c r="T68">
        <f t="shared" si="6"/>
        <v>22</v>
      </c>
    </row>
    <row r="69" spans="1:20" x14ac:dyDescent="0.2">
      <c r="A69">
        <v>2024</v>
      </c>
      <c r="B69" t="s">
        <v>64</v>
      </c>
      <c r="C69" t="s">
        <v>108</v>
      </c>
      <c r="D69" t="s">
        <v>104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  <c r="K69">
        <v>1</v>
      </c>
      <c r="L69">
        <v>2</v>
      </c>
      <c r="M69">
        <v>2</v>
      </c>
      <c r="N69">
        <v>2</v>
      </c>
      <c r="O69">
        <v>2</v>
      </c>
      <c r="R69">
        <f t="shared" si="7"/>
        <v>19</v>
      </c>
      <c r="S69">
        <f t="shared" si="8"/>
        <v>11</v>
      </c>
      <c r="T69">
        <f t="shared" si="6"/>
        <v>8</v>
      </c>
    </row>
    <row r="70" spans="1:20" x14ac:dyDescent="0.2">
      <c r="A70">
        <v>2024</v>
      </c>
      <c r="B70" t="s">
        <v>67</v>
      </c>
      <c r="C70" t="s">
        <v>108</v>
      </c>
      <c r="D70" t="s">
        <v>104</v>
      </c>
      <c r="E70">
        <v>2</v>
      </c>
      <c r="F70">
        <v>2</v>
      </c>
      <c r="G70">
        <v>2</v>
      </c>
      <c r="H70">
        <v>2</v>
      </c>
      <c r="I70">
        <v>2</v>
      </c>
      <c r="J70">
        <v>1</v>
      </c>
      <c r="K70">
        <v>1</v>
      </c>
      <c r="L70">
        <v>2</v>
      </c>
      <c r="M70">
        <v>2</v>
      </c>
      <c r="N70">
        <v>2</v>
      </c>
      <c r="O70">
        <v>2</v>
      </c>
      <c r="P70" s="10" t="s">
        <v>101</v>
      </c>
      <c r="Q70" s="10" t="s">
        <v>101</v>
      </c>
      <c r="R70">
        <f t="shared" si="7"/>
        <v>20</v>
      </c>
      <c r="S70">
        <f t="shared" si="8"/>
        <v>11</v>
      </c>
      <c r="T70">
        <f t="shared" si="6"/>
        <v>9</v>
      </c>
    </row>
    <row r="71" spans="1:20" x14ac:dyDescent="0.2">
      <c r="A71">
        <v>2024</v>
      </c>
      <c r="B71" t="s">
        <v>68</v>
      </c>
      <c r="C71" t="s">
        <v>108</v>
      </c>
      <c r="D71" t="s">
        <v>104</v>
      </c>
      <c r="E71">
        <v>2</v>
      </c>
      <c r="F71">
        <v>2</v>
      </c>
      <c r="G71">
        <v>2</v>
      </c>
      <c r="H71">
        <v>1</v>
      </c>
      <c r="I71">
        <v>1</v>
      </c>
      <c r="J71">
        <v>1</v>
      </c>
      <c r="K71">
        <v>2</v>
      </c>
      <c r="L71">
        <v>2</v>
      </c>
      <c r="M71">
        <v>2</v>
      </c>
      <c r="N71">
        <v>2</v>
      </c>
      <c r="O71">
        <v>2</v>
      </c>
      <c r="P71" s="10" t="s">
        <v>101</v>
      </c>
      <c r="Q71" s="10" t="s">
        <v>101</v>
      </c>
      <c r="R71">
        <f t="shared" si="7"/>
        <v>19</v>
      </c>
      <c r="S71">
        <f t="shared" si="8"/>
        <v>11</v>
      </c>
      <c r="T71">
        <f t="shared" si="6"/>
        <v>8</v>
      </c>
    </row>
    <row r="72" spans="1:20" x14ac:dyDescent="0.2">
      <c r="A72">
        <v>2024</v>
      </c>
      <c r="B72" t="s">
        <v>70</v>
      </c>
      <c r="C72" t="s">
        <v>108</v>
      </c>
      <c r="D72" t="s">
        <v>104</v>
      </c>
      <c r="E72">
        <v>1</v>
      </c>
      <c r="F72">
        <v>1</v>
      </c>
      <c r="G72">
        <v>1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R72">
        <f t="shared" si="7"/>
        <v>19</v>
      </c>
      <c r="S72">
        <f t="shared" si="8"/>
        <v>11</v>
      </c>
      <c r="T72">
        <f t="shared" si="6"/>
        <v>8</v>
      </c>
    </row>
    <row r="73" spans="1:20" x14ac:dyDescent="0.2">
      <c r="A73">
        <v>2024</v>
      </c>
      <c r="B73" t="s">
        <v>72</v>
      </c>
      <c r="C73" t="s">
        <v>108</v>
      </c>
      <c r="D73" t="s">
        <v>104</v>
      </c>
      <c r="E73">
        <v>3</v>
      </c>
      <c r="F73">
        <v>3</v>
      </c>
      <c r="G73">
        <v>3</v>
      </c>
      <c r="H73">
        <v>3</v>
      </c>
      <c r="I73">
        <v>3</v>
      </c>
      <c r="J73">
        <v>3</v>
      </c>
      <c r="K73">
        <v>3</v>
      </c>
      <c r="L73">
        <v>3</v>
      </c>
      <c r="M73">
        <v>2</v>
      </c>
      <c r="N73">
        <v>2</v>
      </c>
      <c r="O73">
        <v>2</v>
      </c>
      <c r="P73">
        <v>4</v>
      </c>
      <c r="Q73">
        <v>3</v>
      </c>
      <c r="R73">
        <f t="shared" si="7"/>
        <v>37</v>
      </c>
      <c r="S73">
        <f t="shared" si="8"/>
        <v>13</v>
      </c>
      <c r="T73">
        <f t="shared" si="6"/>
        <v>24</v>
      </c>
    </row>
    <row r="74" spans="1:20" x14ac:dyDescent="0.2">
      <c r="A74">
        <v>2024</v>
      </c>
      <c r="B74" t="s">
        <v>73</v>
      </c>
      <c r="C74" t="s">
        <v>108</v>
      </c>
      <c r="D74" t="s">
        <v>104</v>
      </c>
      <c r="E74">
        <v>2</v>
      </c>
      <c r="F74">
        <v>2</v>
      </c>
      <c r="G74">
        <v>2</v>
      </c>
      <c r="H74">
        <v>1</v>
      </c>
      <c r="I74">
        <v>2</v>
      </c>
      <c r="J74">
        <v>2</v>
      </c>
      <c r="K74">
        <v>1</v>
      </c>
      <c r="L74">
        <v>1</v>
      </c>
      <c r="M74">
        <v>2</v>
      </c>
      <c r="N74">
        <v>2</v>
      </c>
      <c r="O74">
        <v>1</v>
      </c>
      <c r="P74">
        <v>1</v>
      </c>
      <c r="Q74">
        <v>1</v>
      </c>
      <c r="R74">
        <f t="shared" si="7"/>
        <v>20</v>
      </c>
      <c r="S74">
        <f t="shared" si="8"/>
        <v>13</v>
      </c>
      <c r="T74">
        <f t="shared" si="6"/>
        <v>7</v>
      </c>
    </row>
    <row r="75" spans="1:20" x14ac:dyDescent="0.2">
      <c r="A75">
        <v>2024</v>
      </c>
      <c r="B75" t="s">
        <v>76</v>
      </c>
      <c r="C75" t="s">
        <v>108</v>
      </c>
      <c r="D75" t="s">
        <v>104</v>
      </c>
      <c r="E75">
        <v>3</v>
      </c>
      <c r="F75">
        <v>3</v>
      </c>
      <c r="G75">
        <v>3</v>
      </c>
      <c r="H75">
        <v>4</v>
      </c>
      <c r="I75">
        <v>3</v>
      </c>
      <c r="J75">
        <v>3</v>
      </c>
      <c r="K75">
        <v>3</v>
      </c>
      <c r="L75">
        <v>3</v>
      </c>
      <c r="M75">
        <v>2</v>
      </c>
      <c r="N75">
        <v>3</v>
      </c>
      <c r="O75">
        <v>3</v>
      </c>
      <c r="P75">
        <v>4</v>
      </c>
      <c r="Q75">
        <v>3</v>
      </c>
      <c r="R75">
        <f t="shared" si="7"/>
        <v>40</v>
      </c>
      <c r="S75">
        <f t="shared" si="8"/>
        <v>13</v>
      </c>
      <c r="T75">
        <f t="shared" si="6"/>
        <v>27</v>
      </c>
    </row>
    <row r="76" spans="1:20" x14ac:dyDescent="0.2">
      <c r="A76">
        <v>2024</v>
      </c>
      <c r="B76" t="s">
        <v>77</v>
      </c>
      <c r="C76" t="s">
        <v>108</v>
      </c>
      <c r="D76" t="s">
        <v>104</v>
      </c>
      <c r="E76">
        <v>1</v>
      </c>
      <c r="F76">
        <v>2</v>
      </c>
      <c r="G76">
        <v>2</v>
      </c>
      <c r="H76">
        <v>2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2</v>
      </c>
      <c r="P76">
        <v>4</v>
      </c>
      <c r="Q76">
        <v>1</v>
      </c>
      <c r="R76">
        <f t="shared" si="7"/>
        <v>23</v>
      </c>
      <c r="S76">
        <f t="shared" si="8"/>
        <v>13</v>
      </c>
      <c r="T76">
        <f t="shared" si="6"/>
        <v>10</v>
      </c>
    </row>
    <row r="77" spans="1:20" x14ac:dyDescent="0.2">
      <c r="A77">
        <v>2024</v>
      </c>
      <c r="B77" t="s">
        <v>78</v>
      </c>
      <c r="C77" t="s">
        <v>108</v>
      </c>
      <c r="D77" t="s">
        <v>104</v>
      </c>
      <c r="E77">
        <v>3</v>
      </c>
      <c r="F77">
        <v>3</v>
      </c>
      <c r="G77">
        <v>3</v>
      </c>
      <c r="H77">
        <v>4</v>
      </c>
      <c r="I77">
        <v>4</v>
      </c>
      <c r="J77">
        <v>4</v>
      </c>
      <c r="K77">
        <v>4</v>
      </c>
      <c r="L77">
        <v>4</v>
      </c>
      <c r="M77">
        <v>3</v>
      </c>
      <c r="N77">
        <v>3</v>
      </c>
      <c r="O77">
        <v>3</v>
      </c>
      <c r="P77">
        <v>4</v>
      </c>
      <c r="Q77">
        <v>4</v>
      </c>
      <c r="R77">
        <f t="shared" si="7"/>
        <v>46</v>
      </c>
      <c r="S77">
        <f t="shared" si="8"/>
        <v>13</v>
      </c>
      <c r="T77">
        <f t="shared" si="6"/>
        <v>33</v>
      </c>
    </row>
    <row r="78" spans="1:20" x14ac:dyDescent="0.2">
      <c r="A78">
        <v>2024</v>
      </c>
      <c r="B78" t="s">
        <v>79</v>
      </c>
      <c r="C78" t="s">
        <v>108</v>
      </c>
      <c r="D78" t="s">
        <v>104</v>
      </c>
      <c r="E78">
        <v>2</v>
      </c>
      <c r="F78">
        <v>2</v>
      </c>
      <c r="G78">
        <v>2</v>
      </c>
      <c r="H78">
        <v>2</v>
      </c>
      <c r="I78">
        <v>3</v>
      </c>
      <c r="J78">
        <v>2</v>
      </c>
      <c r="K78">
        <v>2</v>
      </c>
      <c r="L78">
        <v>3</v>
      </c>
      <c r="M78">
        <v>2</v>
      </c>
      <c r="N78">
        <v>2</v>
      </c>
      <c r="O78">
        <v>2</v>
      </c>
      <c r="P78">
        <v>2</v>
      </c>
      <c r="Q78">
        <v>1</v>
      </c>
      <c r="R78">
        <f t="shared" si="7"/>
        <v>27</v>
      </c>
      <c r="S78">
        <f t="shared" si="8"/>
        <v>13</v>
      </c>
      <c r="T78">
        <f t="shared" si="6"/>
        <v>14</v>
      </c>
    </row>
    <row r="79" spans="1:20" x14ac:dyDescent="0.2">
      <c r="A79">
        <v>2024</v>
      </c>
      <c r="B79" t="s">
        <v>80</v>
      </c>
      <c r="C79" t="s">
        <v>108</v>
      </c>
      <c r="D79" t="s">
        <v>104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3</v>
      </c>
      <c r="M79">
        <v>2</v>
      </c>
      <c r="N79">
        <v>2</v>
      </c>
      <c r="O79">
        <v>2</v>
      </c>
      <c r="P79">
        <v>4</v>
      </c>
      <c r="Q79">
        <v>1</v>
      </c>
      <c r="R79">
        <f t="shared" si="7"/>
        <v>28</v>
      </c>
      <c r="S79">
        <f t="shared" si="8"/>
        <v>13</v>
      </c>
      <c r="T79">
        <f t="shared" si="6"/>
        <v>15</v>
      </c>
    </row>
    <row r="81" spans="1:20" x14ac:dyDescent="0.2">
      <c r="A81">
        <v>2025</v>
      </c>
      <c r="B81">
        <v>13</v>
      </c>
      <c r="C81" t="s">
        <v>108</v>
      </c>
      <c r="D81" t="s">
        <v>100</v>
      </c>
      <c r="E81">
        <v>2</v>
      </c>
      <c r="F81">
        <v>2</v>
      </c>
      <c r="G81">
        <v>3</v>
      </c>
      <c r="H81">
        <v>2</v>
      </c>
      <c r="I81">
        <v>2</v>
      </c>
      <c r="J81">
        <v>1</v>
      </c>
      <c r="K81">
        <v>2</v>
      </c>
      <c r="L81">
        <v>2</v>
      </c>
      <c r="M81">
        <v>2</v>
      </c>
      <c r="N81">
        <v>2</v>
      </c>
      <c r="O81">
        <v>2</v>
      </c>
      <c r="P81">
        <v>1</v>
      </c>
      <c r="Q81">
        <v>1</v>
      </c>
      <c r="R81">
        <f t="shared" ref="R81" si="9">SUM(E81:Q81)</f>
        <v>24</v>
      </c>
      <c r="S81">
        <f t="shared" ref="S81" si="10">COUNT(E81:Q81)</f>
        <v>13</v>
      </c>
      <c r="T81">
        <f t="shared" ref="T81" si="11">R81-S81</f>
        <v>11</v>
      </c>
    </row>
    <row r="82" spans="1:20" x14ac:dyDescent="0.2">
      <c r="A82">
        <v>2025</v>
      </c>
      <c r="B82">
        <v>14</v>
      </c>
      <c r="C82" t="s">
        <v>108</v>
      </c>
      <c r="D82" t="s">
        <v>100</v>
      </c>
      <c r="E82">
        <v>2</v>
      </c>
      <c r="F82">
        <v>2</v>
      </c>
      <c r="G82">
        <v>2</v>
      </c>
      <c r="H82">
        <v>2</v>
      </c>
      <c r="I82">
        <v>2</v>
      </c>
      <c r="J82">
        <v>1</v>
      </c>
      <c r="K82">
        <v>2</v>
      </c>
      <c r="L82">
        <v>2</v>
      </c>
      <c r="M82">
        <v>2</v>
      </c>
      <c r="N82">
        <v>2</v>
      </c>
      <c r="O82">
        <v>2</v>
      </c>
      <c r="P82">
        <v>0</v>
      </c>
      <c r="Q82">
        <v>0</v>
      </c>
      <c r="R82">
        <f t="shared" ref="R82:R145" si="12">SUM(E82:Q82)</f>
        <v>21</v>
      </c>
      <c r="S82">
        <f t="shared" ref="S82:S145" si="13">COUNT(E82:Q82)</f>
        <v>13</v>
      </c>
      <c r="T82">
        <f t="shared" ref="T82:T145" si="14">R82-S82</f>
        <v>8</v>
      </c>
    </row>
    <row r="83" spans="1:20" x14ac:dyDescent="0.2">
      <c r="A83">
        <v>2025</v>
      </c>
      <c r="B83">
        <v>15</v>
      </c>
      <c r="C83" t="s">
        <v>108</v>
      </c>
      <c r="D83" t="s">
        <v>100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0</v>
      </c>
      <c r="R83">
        <f t="shared" si="12"/>
        <v>24</v>
      </c>
      <c r="S83">
        <f t="shared" si="13"/>
        <v>13</v>
      </c>
      <c r="T83">
        <f t="shared" si="14"/>
        <v>11</v>
      </c>
    </row>
    <row r="84" spans="1:20" x14ac:dyDescent="0.2">
      <c r="A84">
        <v>2025</v>
      </c>
      <c r="B84">
        <v>16</v>
      </c>
      <c r="C84" t="s">
        <v>108</v>
      </c>
      <c r="D84" t="s">
        <v>100</v>
      </c>
      <c r="E84">
        <v>3</v>
      </c>
      <c r="F84">
        <v>3</v>
      </c>
      <c r="G84">
        <v>3</v>
      </c>
      <c r="H84">
        <v>2</v>
      </c>
      <c r="I84">
        <v>3</v>
      </c>
      <c r="J84">
        <v>2</v>
      </c>
      <c r="K84">
        <v>2</v>
      </c>
      <c r="L84">
        <v>3</v>
      </c>
      <c r="M84">
        <v>2</v>
      </c>
      <c r="N84">
        <v>2</v>
      </c>
      <c r="O84">
        <v>2</v>
      </c>
      <c r="P84">
        <v>4</v>
      </c>
      <c r="Q84">
        <v>2</v>
      </c>
      <c r="R84">
        <f t="shared" si="12"/>
        <v>33</v>
      </c>
      <c r="S84">
        <f t="shared" si="13"/>
        <v>13</v>
      </c>
      <c r="T84">
        <f t="shared" si="14"/>
        <v>20</v>
      </c>
    </row>
    <row r="85" spans="1:20" x14ac:dyDescent="0.2">
      <c r="A85">
        <v>2025</v>
      </c>
      <c r="B85">
        <v>16</v>
      </c>
      <c r="C85" t="s">
        <v>108</v>
      </c>
      <c r="D85" t="s">
        <v>104</v>
      </c>
      <c r="E85">
        <v>3</v>
      </c>
      <c r="F85">
        <v>3</v>
      </c>
      <c r="G85">
        <v>2</v>
      </c>
      <c r="H85">
        <v>2</v>
      </c>
      <c r="I85">
        <v>3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f t="shared" si="12"/>
        <v>29</v>
      </c>
      <c r="S85">
        <f t="shared" si="13"/>
        <v>13</v>
      </c>
      <c r="T85">
        <f t="shared" si="14"/>
        <v>16</v>
      </c>
    </row>
    <row r="86" spans="1:20" x14ac:dyDescent="0.2">
      <c r="A86">
        <v>2025</v>
      </c>
      <c r="B86">
        <v>17</v>
      </c>
      <c r="C86" t="s">
        <v>108</v>
      </c>
      <c r="D86" t="s">
        <v>100</v>
      </c>
      <c r="E86">
        <v>2</v>
      </c>
      <c r="F86">
        <v>2</v>
      </c>
      <c r="G86">
        <v>2</v>
      </c>
      <c r="H86">
        <v>3</v>
      </c>
      <c r="I86">
        <v>2</v>
      </c>
      <c r="J86">
        <v>3</v>
      </c>
      <c r="K86">
        <v>2</v>
      </c>
      <c r="L86">
        <v>2</v>
      </c>
      <c r="M86">
        <v>2</v>
      </c>
      <c r="N86">
        <v>2</v>
      </c>
      <c r="O86">
        <v>3</v>
      </c>
      <c r="P86">
        <v>3</v>
      </c>
      <c r="Q86">
        <v>1</v>
      </c>
      <c r="R86">
        <f t="shared" si="12"/>
        <v>29</v>
      </c>
      <c r="S86">
        <f t="shared" si="13"/>
        <v>13</v>
      </c>
      <c r="T86">
        <f t="shared" si="14"/>
        <v>16</v>
      </c>
    </row>
    <row r="87" spans="1:20" x14ac:dyDescent="0.2">
      <c r="A87">
        <v>2025</v>
      </c>
      <c r="B87">
        <v>17</v>
      </c>
      <c r="C87" t="s">
        <v>108</v>
      </c>
      <c r="D87" t="s">
        <v>104</v>
      </c>
      <c r="E87">
        <v>1</v>
      </c>
      <c r="F87">
        <v>1</v>
      </c>
      <c r="G87">
        <v>1</v>
      </c>
      <c r="H87">
        <v>2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0</v>
      </c>
      <c r="Q87">
        <v>0</v>
      </c>
      <c r="R87">
        <f t="shared" si="12"/>
        <v>12</v>
      </c>
      <c r="S87">
        <f t="shared" si="13"/>
        <v>13</v>
      </c>
      <c r="T87">
        <f>R87-S87</f>
        <v>-1</v>
      </c>
    </row>
    <row r="88" spans="1:20" x14ac:dyDescent="0.2">
      <c r="A88">
        <v>2025</v>
      </c>
      <c r="B88">
        <v>18</v>
      </c>
      <c r="C88" t="s">
        <v>108</v>
      </c>
      <c r="D88" t="s">
        <v>100</v>
      </c>
      <c r="E88">
        <v>3</v>
      </c>
      <c r="F88">
        <v>3</v>
      </c>
      <c r="G88">
        <v>3</v>
      </c>
      <c r="H88">
        <v>3</v>
      </c>
      <c r="I88">
        <v>3</v>
      </c>
      <c r="J88">
        <v>3</v>
      </c>
      <c r="K88">
        <v>2</v>
      </c>
      <c r="L88">
        <v>2</v>
      </c>
      <c r="M88">
        <v>2</v>
      </c>
      <c r="N88">
        <v>2</v>
      </c>
      <c r="O88">
        <v>3</v>
      </c>
      <c r="P88">
        <v>4</v>
      </c>
      <c r="Q88">
        <v>1</v>
      </c>
      <c r="R88">
        <f t="shared" si="12"/>
        <v>34</v>
      </c>
      <c r="S88">
        <f t="shared" si="13"/>
        <v>13</v>
      </c>
      <c r="T88">
        <f t="shared" si="14"/>
        <v>21</v>
      </c>
    </row>
    <row r="89" spans="1:20" x14ac:dyDescent="0.2">
      <c r="A89">
        <v>2025</v>
      </c>
      <c r="B89">
        <v>18</v>
      </c>
      <c r="C89" t="s">
        <v>108</v>
      </c>
      <c r="D89" t="s">
        <v>104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2</v>
      </c>
      <c r="O89">
        <v>2</v>
      </c>
      <c r="P89">
        <v>1</v>
      </c>
      <c r="Q89">
        <v>0</v>
      </c>
      <c r="R89">
        <f t="shared" si="12"/>
        <v>23</v>
      </c>
      <c r="S89">
        <f t="shared" si="13"/>
        <v>13</v>
      </c>
      <c r="T89">
        <f t="shared" si="14"/>
        <v>10</v>
      </c>
    </row>
    <row r="90" spans="1:20" x14ac:dyDescent="0.2">
      <c r="A90">
        <v>2025</v>
      </c>
      <c r="B90">
        <v>19</v>
      </c>
      <c r="C90" t="s">
        <v>108</v>
      </c>
      <c r="D90" t="s">
        <v>100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  <c r="L90">
        <v>3</v>
      </c>
      <c r="M90">
        <v>2</v>
      </c>
      <c r="N90">
        <v>2</v>
      </c>
      <c r="O90">
        <v>2</v>
      </c>
      <c r="P90">
        <v>0</v>
      </c>
      <c r="Q90">
        <v>1</v>
      </c>
      <c r="R90">
        <f t="shared" si="12"/>
        <v>24</v>
      </c>
      <c r="S90">
        <f t="shared" si="13"/>
        <v>13</v>
      </c>
      <c r="T90">
        <f t="shared" si="14"/>
        <v>11</v>
      </c>
    </row>
    <row r="91" spans="1:20" x14ac:dyDescent="0.2">
      <c r="A91">
        <v>2025</v>
      </c>
      <c r="B91">
        <v>19</v>
      </c>
      <c r="C91" t="s">
        <v>108</v>
      </c>
      <c r="D91" t="s">
        <v>104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3</v>
      </c>
      <c r="O91">
        <v>2</v>
      </c>
      <c r="P91">
        <v>0</v>
      </c>
      <c r="Q91">
        <v>1</v>
      </c>
      <c r="R91">
        <f t="shared" si="12"/>
        <v>24</v>
      </c>
      <c r="S91">
        <f t="shared" si="13"/>
        <v>13</v>
      </c>
      <c r="T91">
        <f t="shared" si="14"/>
        <v>11</v>
      </c>
    </row>
    <row r="92" spans="1:20" x14ac:dyDescent="0.2">
      <c r="A92">
        <v>2025</v>
      </c>
      <c r="B92">
        <v>20</v>
      </c>
      <c r="C92" t="s">
        <v>108</v>
      </c>
      <c r="D92" t="s">
        <v>100</v>
      </c>
      <c r="E92">
        <v>3</v>
      </c>
      <c r="F92">
        <v>3</v>
      </c>
      <c r="G92">
        <v>2</v>
      </c>
      <c r="H92">
        <v>2</v>
      </c>
      <c r="I92">
        <v>1</v>
      </c>
      <c r="J92">
        <v>3</v>
      </c>
      <c r="K92">
        <v>3</v>
      </c>
      <c r="L92">
        <v>2</v>
      </c>
      <c r="M92">
        <v>3</v>
      </c>
      <c r="N92">
        <v>3</v>
      </c>
      <c r="O92">
        <v>3</v>
      </c>
      <c r="P92">
        <v>3</v>
      </c>
      <c r="Q92">
        <v>1</v>
      </c>
      <c r="R92">
        <f t="shared" si="12"/>
        <v>32</v>
      </c>
      <c r="S92">
        <f t="shared" si="13"/>
        <v>13</v>
      </c>
      <c r="T92">
        <f t="shared" si="14"/>
        <v>19</v>
      </c>
    </row>
    <row r="93" spans="1:20" x14ac:dyDescent="0.2">
      <c r="A93">
        <v>2025</v>
      </c>
      <c r="B93">
        <v>20</v>
      </c>
      <c r="C93" t="s">
        <v>108</v>
      </c>
      <c r="D93" t="s">
        <v>104</v>
      </c>
      <c r="E93">
        <v>3</v>
      </c>
      <c r="F93">
        <v>3</v>
      </c>
      <c r="G93">
        <v>3</v>
      </c>
      <c r="H93">
        <v>1</v>
      </c>
      <c r="I93">
        <v>2</v>
      </c>
      <c r="J93">
        <v>1</v>
      </c>
      <c r="K93">
        <v>1</v>
      </c>
      <c r="L93">
        <v>3</v>
      </c>
      <c r="M93">
        <v>3</v>
      </c>
      <c r="N93">
        <v>3</v>
      </c>
      <c r="O93">
        <v>3</v>
      </c>
      <c r="P93">
        <v>4</v>
      </c>
      <c r="Q93">
        <v>1</v>
      </c>
      <c r="R93">
        <f t="shared" si="12"/>
        <v>31</v>
      </c>
      <c r="S93">
        <f t="shared" si="13"/>
        <v>13</v>
      </c>
      <c r="T93">
        <f t="shared" si="14"/>
        <v>18</v>
      </c>
    </row>
    <row r="94" spans="1:20" x14ac:dyDescent="0.2">
      <c r="A94">
        <v>2025</v>
      </c>
      <c r="B94">
        <v>21</v>
      </c>
      <c r="C94" t="s">
        <v>108</v>
      </c>
      <c r="D94" t="s">
        <v>100</v>
      </c>
      <c r="E94">
        <v>3</v>
      </c>
      <c r="F94">
        <v>3</v>
      </c>
      <c r="G94">
        <v>2</v>
      </c>
      <c r="H94">
        <v>3</v>
      </c>
      <c r="I94">
        <v>3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f t="shared" si="12"/>
        <v>30</v>
      </c>
      <c r="S94">
        <f t="shared" si="13"/>
        <v>13</v>
      </c>
      <c r="T94">
        <f t="shared" si="14"/>
        <v>17</v>
      </c>
    </row>
    <row r="95" spans="1:20" x14ac:dyDescent="0.2">
      <c r="A95">
        <v>2025</v>
      </c>
      <c r="B95">
        <v>22</v>
      </c>
      <c r="C95" t="s">
        <v>108</v>
      </c>
      <c r="D95" t="s">
        <v>100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0</v>
      </c>
      <c r="Q95">
        <v>0</v>
      </c>
      <c r="R95">
        <f t="shared" si="12"/>
        <v>22</v>
      </c>
      <c r="S95">
        <f t="shared" si="13"/>
        <v>13</v>
      </c>
      <c r="T95">
        <f t="shared" si="14"/>
        <v>9</v>
      </c>
    </row>
    <row r="96" spans="1:20" x14ac:dyDescent="0.2">
      <c r="A96">
        <v>2025</v>
      </c>
      <c r="B96">
        <v>23</v>
      </c>
      <c r="C96" t="s">
        <v>108</v>
      </c>
      <c r="D96" t="s">
        <v>100</v>
      </c>
      <c r="E96">
        <v>1</v>
      </c>
      <c r="F96">
        <v>2</v>
      </c>
      <c r="G96">
        <v>2</v>
      </c>
      <c r="H96">
        <v>2</v>
      </c>
      <c r="I96">
        <v>2</v>
      </c>
      <c r="J96">
        <v>2</v>
      </c>
      <c r="K96">
        <v>1</v>
      </c>
      <c r="L96">
        <v>2</v>
      </c>
      <c r="M96">
        <v>2</v>
      </c>
      <c r="N96">
        <v>2</v>
      </c>
      <c r="O96">
        <v>3</v>
      </c>
      <c r="P96">
        <v>0</v>
      </c>
      <c r="Q96">
        <v>0</v>
      </c>
      <c r="R96">
        <f t="shared" si="12"/>
        <v>21</v>
      </c>
      <c r="S96">
        <f t="shared" si="13"/>
        <v>13</v>
      </c>
      <c r="T96">
        <f t="shared" si="14"/>
        <v>8</v>
      </c>
    </row>
    <row r="97" spans="1:20" x14ac:dyDescent="0.2">
      <c r="A97">
        <v>2025</v>
      </c>
      <c r="B97">
        <v>23</v>
      </c>
      <c r="C97" t="s">
        <v>108</v>
      </c>
      <c r="D97" t="s">
        <v>104</v>
      </c>
      <c r="E97">
        <v>2</v>
      </c>
      <c r="F97">
        <v>2</v>
      </c>
      <c r="G97">
        <v>2</v>
      </c>
      <c r="H97">
        <v>2</v>
      </c>
      <c r="I97">
        <v>2</v>
      </c>
      <c r="J97">
        <v>1</v>
      </c>
      <c r="K97">
        <v>2</v>
      </c>
      <c r="L97">
        <v>2</v>
      </c>
      <c r="M97">
        <v>2</v>
      </c>
      <c r="N97">
        <v>2</v>
      </c>
      <c r="O97">
        <v>2</v>
      </c>
      <c r="P97">
        <v>0</v>
      </c>
      <c r="Q97">
        <v>0</v>
      </c>
      <c r="R97">
        <f t="shared" si="12"/>
        <v>21</v>
      </c>
      <c r="S97">
        <f t="shared" si="13"/>
        <v>13</v>
      </c>
      <c r="T97">
        <f t="shared" si="14"/>
        <v>8</v>
      </c>
    </row>
    <row r="98" spans="1:20" x14ac:dyDescent="0.2">
      <c r="A98">
        <v>2025</v>
      </c>
      <c r="B98">
        <v>24</v>
      </c>
      <c r="C98" t="s">
        <v>108</v>
      </c>
      <c r="D98" t="s">
        <v>100</v>
      </c>
      <c r="E98">
        <v>3</v>
      </c>
      <c r="F98">
        <v>2</v>
      </c>
      <c r="G98">
        <v>2</v>
      </c>
      <c r="H98">
        <v>2</v>
      </c>
      <c r="I98">
        <v>3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0</v>
      </c>
      <c r="Q98">
        <v>0</v>
      </c>
      <c r="R98">
        <f t="shared" si="12"/>
        <v>24</v>
      </c>
      <c r="S98">
        <f t="shared" si="13"/>
        <v>13</v>
      </c>
      <c r="T98">
        <f t="shared" si="14"/>
        <v>11</v>
      </c>
    </row>
    <row r="99" spans="1:20" x14ac:dyDescent="0.2">
      <c r="A99">
        <v>2025</v>
      </c>
      <c r="B99">
        <v>24</v>
      </c>
      <c r="C99" t="s">
        <v>108</v>
      </c>
      <c r="D99" t="s">
        <v>104</v>
      </c>
      <c r="E99">
        <v>2</v>
      </c>
      <c r="F99">
        <v>2</v>
      </c>
      <c r="G99">
        <v>2</v>
      </c>
      <c r="H99">
        <v>2</v>
      </c>
      <c r="I99">
        <v>2</v>
      </c>
      <c r="J99">
        <v>1</v>
      </c>
      <c r="K99">
        <v>1</v>
      </c>
      <c r="L99">
        <v>2</v>
      </c>
      <c r="M99">
        <v>2</v>
      </c>
      <c r="N99">
        <v>2</v>
      </c>
      <c r="O99">
        <v>2</v>
      </c>
      <c r="P99">
        <v>0</v>
      </c>
      <c r="Q99">
        <v>0</v>
      </c>
      <c r="R99">
        <f t="shared" si="12"/>
        <v>20</v>
      </c>
      <c r="S99">
        <f t="shared" si="13"/>
        <v>13</v>
      </c>
      <c r="T99">
        <f t="shared" si="14"/>
        <v>7</v>
      </c>
    </row>
    <row r="100" spans="1:20" x14ac:dyDescent="0.2">
      <c r="A100">
        <v>2025</v>
      </c>
      <c r="B100">
        <v>25</v>
      </c>
      <c r="C100" t="s">
        <v>108</v>
      </c>
      <c r="D100" t="s">
        <v>100</v>
      </c>
      <c r="E100">
        <v>3</v>
      </c>
      <c r="F100">
        <v>3</v>
      </c>
      <c r="G100">
        <v>2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3</v>
      </c>
      <c r="N100">
        <v>3</v>
      </c>
      <c r="O100">
        <v>3</v>
      </c>
      <c r="P100">
        <v>4</v>
      </c>
      <c r="Q100">
        <v>1</v>
      </c>
      <c r="R100">
        <f t="shared" si="12"/>
        <v>37</v>
      </c>
      <c r="S100">
        <f t="shared" si="13"/>
        <v>13</v>
      </c>
      <c r="T100">
        <f t="shared" si="14"/>
        <v>24</v>
      </c>
    </row>
    <row r="101" spans="1:20" x14ac:dyDescent="0.2">
      <c r="A101">
        <v>2025</v>
      </c>
      <c r="B101">
        <v>25</v>
      </c>
      <c r="C101" t="s">
        <v>108</v>
      </c>
      <c r="D101" t="s">
        <v>104</v>
      </c>
      <c r="E101">
        <v>3</v>
      </c>
      <c r="F101">
        <v>3</v>
      </c>
      <c r="G101">
        <v>2</v>
      </c>
      <c r="H101">
        <v>3</v>
      </c>
      <c r="I101">
        <v>3</v>
      </c>
      <c r="J101">
        <v>3</v>
      </c>
      <c r="K101">
        <v>3</v>
      </c>
      <c r="L101">
        <v>3</v>
      </c>
      <c r="M101">
        <v>2</v>
      </c>
      <c r="N101">
        <v>2</v>
      </c>
      <c r="O101">
        <v>2</v>
      </c>
      <c r="P101">
        <v>4</v>
      </c>
      <c r="Q101">
        <v>1</v>
      </c>
      <c r="R101">
        <f t="shared" si="12"/>
        <v>34</v>
      </c>
      <c r="S101">
        <f t="shared" si="13"/>
        <v>13</v>
      </c>
      <c r="T101">
        <f t="shared" si="14"/>
        <v>21</v>
      </c>
    </row>
    <row r="102" spans="1:20" x14ac:dyDescent="0.2">
      <c r="A102">
        <v>2025</v>
      </c>
      <c r="B102">
        <v>26</v>
      </c>
      <c r="C102" t="s">
        <v>108</v>
      </c>
      <c r="D102" t="s">
        <v>100</v>
      </c>
      <c r="E102">
        <v>3</v>
      </c>
      <c r="F102">
        <v>3</v>
      </c>
      <c r="G102">
        <v>3</v>
      </c>
      <c r="H102">
        <v>2</v>
      </c>
      <c r="I102">
        <v>2</v>
      </c>
      <c r="J102">
        <v>3</v>
      </c>
      <c r="K102">
        <v>2</v>
      </c>
      <c r="L102">
        <v>2</v>
      </c>
      <c r="M102">
        <v>2</v>
      </c>
      <c r="N102">
        <v>3</v>
      </c>
      <c r="O102">
        <v>3</v>
      </c>
      <c r="P102">
        <v>3</v>
      </c>
      <c r="Q102">
        <v>1</v>
      </c>
      <c r="R102">
        <f t="shared" si="12"/>
        <v>32</v>
      </c>
      <c r="S102">
        <f t="shared" si="13"/>
        <v>13</v>
      </c>
      <c r="T102">
        <f t="shared" si="14"/>
        <v>19</v>
      </c>
    </row>
    <row r="103" spans="1:20" x14ac:dyDescent="0.2">
      <c r="A103">
        <v>2025</v>
      </c>
      <c r="B103">
        <v>27</v>
      </c>
      <c r="C103" t="s">
        <v>108</v>
      </c>
      <c r="D103" t="s">
        <v>100</v>
      </c>
      <c r="E103">
        <v>1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1</v>
      </c>
      <c r="L103">
        <v>2</v>
      </c>
      <c r="M103">
        <v>2</v>
      </c>
      <c r="N103">
        <v>3</v>
      </c>
      <c r="O103">
        <v>2</v>
      </c>
      <c r="P103">
        <v>0</v>
      </c>
      <c r="Q103">
        <v>0</v>
      </c>
      <c r="R103">
        <f t="shared" si="12"/>
        <v>21</v>
      </c>
      <c r="S103">
        <f t="shared" si="13"/>
        <v>13</v>
      </c>
      <c r="T103">
        <f t="shared" si="14"/>
        <v>8</v>
      </c>
    </row>
    <row r="104" spans="1:20" x14ac:dyDescent="0.2">
      <c r="A104">
        <v>2025</v>
      </c>
      <c r="B104">
        <v>27</v>
      </c>
      <c r="C104" t="s">
        <v>108</v>
      </c>
      <c r="D104" t="s">
        <v>104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2</v>
      </c>
      <c r="O104">
        <v>2</v>
      </c>
      <c r="P104">
        <v>1</v>
      </c>
      <c r="Q104">
        <v>0</v>
      </c>
      <c r="R104">
        <f t="shared" si="12"/>
        <v>14</v>
      </c>
      <c r="S104">
        <f t="shared" si="13"/>
        <v>13</v>
      </c>
      <c r="T104">
        <f t="shared" si="14"/>
        <v>1</v>
      </c>
    </row>
    <row r="105" spans="1:20" x14ac:dyDescent="0.2">
      <c r="A105">
        <v>2025</v>
      </c>
      <c r="B105">
        <v>28</v>
      </c>
      <c r="C105" t="s">
        <v>108</v>
      </c>
      <c r="D105" t="s">
        <v>100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2</v>
      </c>
      <c r="L105">
        <v>1</v>
      </c>
      <c r="M105">
        <v>2</v>
      </c>
      <c r="N105">
        <v>1</v>
      </c>
      <c r="O105">
        <v>1</v>
      </c>
      <c r="P105">
        <v>0</v>
      </c>
      <c r="Q105">
        <v>0</v>
      </c>
      <c r="R105">
        <f t="shared" si="12"/>
        <v>13</v>
      </c>
      <c r="S105">
        <f t="shared" si="13"/>
        <v>13</v>
      </c>
      <c r="T105">
        <f t="shared" si="14"/>
        <v>0</v>
      </c>
    </row>
    <row r="106" spans="1:20" x14ac:dyDescent="0.2">
      <c r="A106">
        <v>2025</v>
      </c>
      <c r="B106">
        <v>28</v>
      </c>
      <c r="C106" t="s">
        <v>108</v>
      </c>
      <c r="D106" t="s">
        <v>104</v>
      </c>
      <c r="E106">
        <v>2</v>
      </c>
      <c r="F106">
        <v>2</v>
      </c>
      <c r="G106">
        <v>1</v>
      </c>
      <c r="H106">
        <v>1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0</v>
      </c>
      <c r="Q106">
        <v>0</v>
      </c>
      <c r="R106">
        <f t="shared" si="12"/>
        <v>20</v>
      </c>
      <c r="S106">
        <f t="shared" si="13"/>
        <v>13</v>
      </c>
      <c r="T106">
        <f t="shared" si="14"/>
        <v>7</v>
      </c>
    </row>
    <row r="107" spans="1:20" x14ac:dyDescent="0.2">
      <c r="A107">
        <v>2025</v>
      </c>
      <c r="B107">
        <v>29</v>
      </c>
      <c r="C107" t="s">
        <v>108</v>
      </c>
      <c r="D107" t="s">
        <v>100</v>
      </c>
      <c r="E107">
        <v>2</v>
      </c>
      <c r="F107">
        <v>2</v>
      </c>
      <c r="G107">
        <v>3</v>
      </c>
      <c r="H107">
        <v>2</v>
      </c>
      <c r="I107">
        <v>3</v>
      </c>
      <c r="J107">
        <v>2</v>
      </c>
      <c r="K107">
        <v>2</v>
      </c>
      <c r="L107">
        <v>2</v>
      </c>
      <c r="M107">
        <v>2</v>
      </c>
      <c r="N107">
        <v>3</v>
      </c>
      <c r="O107">
        <v>2</v>
      </c>
      <c r="P107">
        <v>4</v>
      </c>
      <c r="Q107">
        <v>1</v>
      </c>
      <c r="R107">
        <f t="shared" si="12"/>
        <v>30</v>
      </c>
      <c r="S107">
        <f t="shared" si="13"/>
        <v>13</v>
      </c>
      <c r="T107">
        <f t="shared" si="14"/>
        <v>17</v>
      </c>
    </row>
    <row r="108" spans="1:20" x14ac:dyDescent="0.2">
      <c r="A108">
        <v>2025</v>
      </c>
      <c r="B108">
        <v>30</v>
      </c>
      <c r="C108" t="s">
        <v>108</v>
      </c>
      <c r="D108" t="s">
        <v>100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3</v>
      </c>
      <c r="P108">
        <v>3</v>
      </c>
      <c r="Q108">
        <v>2</v>
      </c>
      <c r="R108">
        <f t="shared" si="12"/>
        <v>28</v>
      </c>
      <c r="S108">
        <f t="shared" si="13"/>
        <v>13</v>
      </c>
      <c r="T108">
        <f t="shared" si="14"/>
        <v>15</v>
      </c>
    </row>
    <row r="109" spans="1:20" x14ac:dyDescent="0.2">
      <c r="A109">
        <v>2025</v>
      </c>
      <c r="B109">
        <v>32</v>
      </c>
      <c r="C109" t="s">
        <v>108</v>
      </c>
      <c r="D109" t="s">
        <v>100</v>
      </c>
      <c r="E109">
        <v>2</v>
      </c>
      <c r="F109">
        <v>2</v>
      </c>
      <c r="G109">
        <v>2</v>
      </c>
      <c r="H109">
        <v>3</v>
      </c>
      <c r="I109">
        <v>3</v>
      </c>
      <c r="J109">
        <v>3</v>
      </c>
      <c r="K109">
        <v>3</v>
      </c>
      <c r="L109">
        <v>3</v>
      </c>
      <c r="M109">
        <v>1</v>
      </c>
      <c r="N109">
        <v>4</v>
      </c>
      <c r="O109">
        <v>4</v>
      </c>
      <c r="P109">
        <v>4</v>
      </c>
      <c r="Q109">
        <v>1</v>
      </c>
      <c r="R109">
        <f t="shared" si="12"/>
        <v>35</v>
      </c>
      <c r="S109">
        <f t="shared" si="13"/>
        <v>13</v>
      </c>
      <c r="T109">
        <f t="shared" si="14"/>
        <v>22</v>
      </c>
    </row>
    <row r="110" spans="1:20" x14ac:dyDescent="0.2">
      <c r="A110">
        <v>2025</v>
      </c>
      <c r="B110">
        <v>32</v>
      </c>
      <c r="C110" t="s">
        <v>108</v>
      </c>
      <c r="D110" t="s">
        <v>104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2</v>
      </c>
      <c r="O110">
        <v>2</v>
      </c>
      <c r="P110">
        <v>0</v>
      </c>
      <c r="Q110">
        <v>0</v>
      </c>
      <c r="R110">
        <f t="shared" si="12"/>
        <v>13</v>
      </c>
      <c r="S110">
        <f t="shared" si="13"/>
        <v>13</v>
      </c>
      <c r="T110">
        <f t="shared" si="14"/>
        <v>0</v>
      </c>
    </row>
    <row r="111" spans="1:20" x14ac:dyDescent="0.2">
      <c r="A111">
        <v>2025</v>
      </c>
      <c r="B111">
        <v>33</v>
      </c>
      <c r="C111" t="s">
        <v>108</v>
      </c>
      <c r="D111" t="s">
        <v>100</v>
      </c>
      <c r="E111">
        <v>4</v>
      </c>
      <c r="F111">
        <v>4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4</v>
      </c>
      <c r="O111">
        <v>4</v>
      </c>
      <c r="P111">
        <v>4</v>
      </c>
      <c r="Q111">
        <v>2</v>
      </c>
      <c r="R111">
        <f t="shared" si="12"/>
        <v>50</v>
      </c>
      <c r="S111">
        <f t="shared" si="13"/>
        <v>13</v>
      </c>
      <c r="T111">
        <f t="shared" si="14"/>
        <v>37</v>
      </c>
    </row>
    <row r="112" spans="1:20" x14ac:dyDescent="0.2">
      <c r="A112">
        <v>2025</v>
      </c>
      <c r="B112">
        <v>34</v>
      </c>
      <c r="C112" t="s">
        <v>108</v>
      </c>
      <c r="D112" t="s">
        <v>100</v>
      </c>
      <c r="E112">
        <v>2</v>
      </c>
      <c r="F112">
        <v>2</v>
      </c>
      <c r="G112">
        <v>3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3</v>
      </c>
      <c r="O112">
        <v>2</v>
      </c>
      <c r="P112">
        <v>4</v>
      </c>
      <c r="Q112">
        <v>1</v>
      </c>
      <c r="R112">
        <f t="shared" si="12"/>
        <v>29</v>
      </c>
      <c r="S112">
        <f t="shared" si="13"/>
        <v>13</v>
      </c>
      <c r="T112">
        <f t="shared" si="14"/>
        <v>16</v>
      </c>
    </row>
    <row r="113" spans="1:20" x14ac:dyDescent="0.2">
      <c r="A113">
        <v>2025</v>
      </c>
      <c r="B113">
        <v>34</v>
      </c>
      <c r="C113" t="s">
        <v>108</v>
      </c>
      <c r="D113" t="s">
        <v>104</v>
      </c>
      <c r="E113">
        <v>3</v>
      </c>
      <c r="F113">
        <v>3</v>
      </c>
      <c r="G113">
        <v>3</v>
      </c>
      <c r="H113">
        <v>2</v>
      </c>
      <c r="I113">
        <v>3</v>
      </c>
      <c r="J113">
        <v>1</v>
      </c>
      <c r="K113">
        <v>2</v>
      </c>
      <c r="L113">
        <v>2</v>
      </c>
      <c r="M113">
        <v>2</v>
      </c>
      <c r="N113">
        <v>3</v>
      </c>
      <c r="O113">
        <v>3</v>
      </c>
      <c r="P113">
        <v>2</v>
      </c>
      <c r="Q113">
        <v>1</v>
      </c>
      <c r="R113">
        <f t="shared" si="12"/>
        <v>30</v>
      </c>
      <c r="S113">
        <f t="shared" si="13"/>
        <v>13</v>
      </c>
      <c r="T113">
        <f t="shared" si="14"/>
        <v>17</v>
      </c>
    </row>
    <row r="114" spans="1:20" x14ac:dyDescent="0.2">
      <c r="A114">
        <v>2025</v>
      </c>
      <c r="B114">
        <v>35</v>
      </c>
      <c r="C114" t="s">
        <v>108</v>
      </c>
      <c r="D114" t="s">
        <v>100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4</v>
      </c>
      <c r="Q114">
        <v>2</v>
      </c>
      <c r="R114">
        <f t="shared" si="12"/>
        <v>28</v>
      </c>
      <c r="S114">
        <f t="shared" si="13"/>
        <v>13</v>
      </c>
      <c r="T114">
        <f t="shared" si="14"/>
        <v>15</v>
      </c>
    </row>
    <row r="115" spans="1:20" x14ac:dyDescent="0.2">
      <c r="A115">
        <v>2025</v>
      </c>
      <c r="B115">
        <v>35</v>
      </c>
      <c r="C115" t="s">
        <v>108</v>
      </c>
      <c r="D115" t="s">
        <v>104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4</v>
      </c>
      <c r="Q115">
        <v>2</v>
      </c>
      <c r="R115">
        <f t="shared" si="12"/>
        <v>28</v>
      </c>
      <c r="S115">
        <f t="shared" si="13"/>
        <v>13</v>
      </c>
      <c r="T115">
        <f t="shared" si="14"/>
        <v>15</v>
      </c>
    </row>
    <row r="116" spans="1:20" x14ac:dyDescent="0.2">
      <c r="A116">
        <v>2025</v>
      </c>
      <c r="B116">
        <v>36</v>
      </c>
      <c r="C116" t="s">
        <v>108</v>
      </c>
      <c r="D116" t="s">
        <v>100</v>
      </c>
      <c r="E116">
        <v>3</v>
      </c>
      <c r="F116">
        <v>4</v>
      </c>
      <c r="G116">
        <v>2</v>
      </c>
      <c r="H116">
        <v>2</v>
      </c>
      <c r="I116">
        <v>3</v>
      </c>
      <c r="J116">
        <v>4</v>
      </c>
      <c r="K116">
        <v>4</v>
      </c>
      <c r="L116">
        <v>3</v>
      </c>
      <c r="M116">
        <v>4</v>
      </c>
      <c r="N116">
        <v>3</v>
      </c>
      <c r="O116">
        <v>3</v>
      </c>
      <c r="P116">
        <v>4</v>
      </c>
      <c r="Q116">
        <v>1</v>
      </c>
      <c r="R116">
        <f t="shared" si="12"/>
        <v>40</v>
      </c>
      <c r="S116">
        <f t="shared" si="13"/>
        <v>13</v>
      </c>
      <c r="T116">
        <f t="shared" si="14"/>
        <v>27</v>
      </c>
    </row>
    <row r="117" spans="1:20" x14ac:dyDescent="0.2">
      <c r="A117">
        <v>2025</v>
      </c>
      <c r="B117">
        <v>37</v>
      </c>
      <c r="C117" t="s">
        <v>108</v>
      </c>
      <c r="D117" t="s">
        <v>100</v>
      </c>
      <c r="E117">
        <v>3</v>
      </c>
      <c r="F117">
        <v>3</v>
      </c>
      <c r="G117">
        <v>3</v>
      </c>
      <c r="H117">
        <v>3</v>
      </c>
      <c r="I117">
        <v>3</v>
      </c>
      <c r="J117">
        <v>2</v>
      </c>
      <c r="K117">
        <v>2</v>
      </c>
      <c r="L117">
        <v>2</v>
      </c>
      <c r="M117">
        <v>2</v>
      </c>
      <c r="N117">
        <v>3</v>
      </c>
      <c r="O117">
        <v>2</v>
      </c>
      <c r="P117">
        <v>4</v>
      </c>
      <c r="Q117">
        <v>1</v>
      </c>
      <c r="R117">
        <f t="shared" si="12"/>
        <v>33</v>
      </c>
      <c r="S117">
        <f t="shared" si="13"/>
        <v>13</v>
      </c>
      <c r="T117">
        <f t="shared" si="14"/>
        <v>20</v>
      </c>
    </row>
    <row r="118" spans="1:20" x14ac:dyDescent="0.2">
      <c r="A118">
        <v>2025</v>
      </c>
      <c r="B118">
        <v>37</v>
      </c>
      <c r="C118" t="s">
        <v>108</v>
      </c>
      <c r="D118" t="s">
        <v>104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0</v>
      </c>
      <c r="Q118">
        <v>0</v>
      </c>
      <c r="R118">
        <f t="shared" si="12"/>
        <v>22</v>
      </c>
      <c r="S118">
        <f t="shared" si="13"/>
        <v>13</v>
      </c>
      <c r="T118">
        <f t="shared" si="14"/>
        <v>9</v>
      </c>
    </row>
    <row r="119" spans="1:20" x14ac:dyDescent="0.2">
      <c r="A119">
        <v>2025</v>
      </c>
      <c r="B119">
        <v>39</v>
      </c>
      <c r="C119" t="s">
        <v>108</v>
      </c>
      <c r="D119" t="s">
        <v>100</v>
      </c>
      <c r="E119">
        <v>4</v>
      </c>
      <c r="F119">
        <v>4</v>
      </c>
      <c r="G119">
        <v>4</v>
      </c>
      <c r="H119">
        <v>3</v>
      </c>
      <c r="I119">
        <v>4</v>
      </c>
      <c r="J119">
        <v>4</v>
      </c>
      <c r="K119">
        <v>4</v>
      </c>
      <c r="L119">
        <v>2</v>
      </c>
      <c r="M119">
        <v>3</v>
      </c>
      <c r="N119">
        <v>2</v>
      </c>
      <c r="O119">
        <v>2</v>
      </c>
      <c r="P119">
        <v>4</v>
      </c>
      <c r="Q119">
        <v>4</v>
      </c>
      <c r="R119">
        <f t="shared" si="12"/>
        <v>44</v>
      </c>
      <c r="S119">
        <f t="shared" si="13"/>
        <v>13</v>
      </c>
      <c r="T119">
        <f t="shared" si="14"/>
        <v>31</v>
      </c>
    </row>
    <row r="120" spans="1:20" x14ac:dyDescent="0.2">
      <c r="A120">
        <v>2025</v>
      </c>
      <c r="B120">
        <v>39</v>
      </c>
      <c r="C120" t="s">
        <v>108</v>
      </c>
      <c r="D120" t="s">
        <v>104</v>
      </c>
      <c r="E120">
        <v>4</v>
      </c>
      <c r="F120">
        <v>4</v>
      </c>
      <c r="G120">
        <v>3</v>
      </c>
      <c r="H120">
        <v>3</v>
      </c>
      <c r="I120">
        <v>4</v>
      </c>
      <c r="J120">
        <v>1</v>
      </c>
      <c r="K120">
        <v>3</v>
      </c>
      <c r="L120">
        <v>3</v>
      </c>
      <c r="M120">
        <v>2</v>
      </c>
      <c r="N120">
        <v>2</v>
      </c>
      <c r="O120">
        <v>3</v>
      </c>
      <c r="P120">
        <v>4</v>
      </c>
      <c r="Q120">
        <v>4</v>
      </c>
      <c r="R120">
        <f t="shared" si="12"/>
        <v>40</v>
      </c>
      <c r="S120">
        <f t="shared" si="13"/>
        <v>13</v>
      </c>
      <c r="T120">
        <f t="shared" si="14"/>
        <v>27</v>
      </c>
    </row>
    <row r="121" spans="1:20" x14ac:dyDescent="0.2">
      <c r="A121">
        <v>2025</v>
      </c>
      <c r="B121">
        <v>40</v>
      </c>
      <c r="C121" t="s">
        <v>108</v>
      </c>
      <c r="D121" t="s">
        <v>100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3</v>
      </c>
      <c r="O121">
        <v>2</v>
      </c>
      <c r="P121">
        <v>0</v>
      </c>
      <c r="Q121">
        <v>0</v>
      </c>
      <c r="R121">
        <f t="shared" si="12"/>
        <v>23</v>
      </c>
      <c r="S121">
        <f t="shared" si="13"/>
        <v>13</v>
      </c>
      <c r="T121">
        <f t="shared" si="14"/>
        <v>10</v>
      </c>
    </row>
    <row r="122" spans="1:20" x14ac:dyDescent="0.2">
      <c r="A122">
        <v>2025</v>
      </c>
      <c r="B122">
        <v>40</v>
      </c>
      <c r="C122" t="s">
        <v>108</v>
      </c>
      <c r="D122" t="s">
        <v>104</v>
      </c>
      <c r="E122">
        <v>1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1</v>
      </c>
      <c r="Q122">
        <v>1</v>
      </c>
      <c r="R122">
        <f t="shared" si="12"/>
        <v>23</v>
      </c>
      <c r="S122">
        <f t="shared" si="13"/>
        <v>13</v>
      </c>
      <c r="T122">
        <f t="shared" si="14"/>
        <v>10</v>
      </c>
    </row>
    <row r="123" spans="1:20" x14ac:dyDescent="0.2">
      <c r="A123">
        <v>2025</v>
      </c>
      <c r="B123">
        <v>41</v>
      </c>
      <c r="C123" t="s">
        <v>108</v>
      </c>
      <c r="D123" t="s">
        <v>100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1</v>
      </c>
      <c r="Q123">
        <v>1</v>
      </c>
      <c r="R123">
        <f t="shared" si="12"/>
        <v>24</v>
      </c>
      <c r="S123">
        <f t="shared" si="13"/>
        <v>13</v>
      </c>
      <c r="T123">
        <f t="shared" si="14"/>
        <v>11</v>
      </c>
    </row>
    <row r="124" spans="1:20" x14ac:dyDescent="0.2">
      <c r="A124">
        <v>2025</v>
      </c>
      <c r="B124">
        <v>42</v>
      </c>
      <c r="C124" t="s">
        <v>108</v>
      </c>
      <c r="D124" t="s">
        <v>100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1</v>
      </c>
      <c r="N124">
        <v>2</v>
      </c>
      <c r="O124">
        <v>2</v>
      </c>
      <c r="P124">
        <v>2</v>
      </c>
      <c r="Q124">
        <v>1</v>
      </c>
      <c r="R124">
        <f t="shared" si="12"/>
        <v>24</v>
      </c>
      <c r="S124">
        <f t="shared" si="13"/>
        <v>13</v>
      </c>
      <c r="T124">
        <f t="shared" si="14"/>
        <v>11</v>
      </c>
    </row>
    <row r="125" spans="1:20" x14ac:dyDescent="0.2">
      <c r="A125">
        <v>2025</v>
      </c>
      <c r="B125">
        <v>43</v>
      </c>
      <c r="C125" t="s">
        <v>108</v>
      </c>
      <c r="D125" t="s">
        <v>100</v>
      </c>
      <c r="E125">
        <v>3</v>
      </c>
      <c r="F125">
        <v>3</v>
      </c>
      <c r="G125">
        <v>2</v>
      </c>
      <c r="H125">
        <v>3</v>
      </c>
      <c r="I125">
        <v>3</v>
      </c>
      <c r="J125">
        <v>3</v>
      </c>
      <c r="K125">
        <v>3</v>
      </c>
      <c r="L125">
        <v>3</v>
      </c>
      <c r="M125">
        <v>2</v>
      </c>
      <c r="N125">
        <v>3</v>
      </c>
      <c r="O125">
        <v>3</v>
      </c>
      <c r="P125">
        <v>4</v>
      </c>
      <c r="Q125">
        <v>3</v>
      </c>
      <c r="R125">
        <f t="shared" si="12"/>
        <v>38</v>
      </c>
      <c r="S125">
        <f t="shared" si="13"/>
        <v>13</v>
      </c>
      <c r="T125">
        <f t="shared" si="14"/>
        <v>25</v>
      </c>
    </row>
    <row r="126" spans="1:20" x14ac:dyDescent="0.2">
      <c r="A126">
        <v>2025</v>
      </c>
      <c r="B126">
        <v>43</v>
      </c>
      <c r="C126" t="s">
        <v>108</v>
      </c>
      <c r="D126" t="s">
        <v>104</v>
      </c>
      <c r="E126">
        <v>2</v>
      </c>
      <c r="F126">
        <v>2</v>
      </c>
      <c r="G126">
        <v>2</v>
      </c>
      <c r="H126">
        <v>2</v>
      </c>
      <c r="I126">
        <v>3</v>
      </c>
      <c r="J126">
        <v>1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1</v>
      </c>
      <c r="R126">
        <f t="shared" si="12"/>
        <v>25</v>
      </c>
      <c r="S126">
        <f t="shared" si="13"/>
        <v>13</v>
      </c>
      <c r="T126">
        <f t="shared" si="14"/>
        <v>12</v>
      </c>
    </row>
    <row r="127" spans="1:20" x14ac:dyDescent="0.2">
      <c r="A127">
        <v>2025</v>
      </c>
      <c r="B127">
        <v>44</v>
      </c>
      <c r="C127" t="s">
        <v>108</v>
      </c>
      <c r="D127" t="s">
        <v>100</v>
      </c>
      <c r="E127">
        <v>3</v>
      </c>
      <c r="F127">
        <v>3</v>
      </c>
      <c r="G127">
        <v>3</v>
      </c>
      <c r="H127">
        <v>3</v>
      </c>
      <c r="I127">
        <v>4</v>
      </c>
      <c r="J127">
        <v>3</v>
      </c>
      <c r="K127">
        <v>3</v>
      </c>
      <c r="L127">
        <v>4</v>
      </c>
      <c r="M127">
        <v>2</v>
      </c>
      <c r="N127">
        <v>3</v>
      </c>
      <c r="O127">
        <v>3</v>
      </c>
      <c r="P127">
        <v>4</v>
      </c>
      <c r="Q127">
        <v>3</v>
      </c>
      <c r="R127">
        <f t="shared" si="12"/>
        <v>41</v>
      </c>
      <c r="S127">
        <f t="shared" si="13"/>
        <v>13</v>
      </c>
      <c r="T127">
        <f t="shared" si="14"/>
        <v>28</v>
      </c>
    </row>
    <row r="128" spans="1:20" x14ac:dyDescent="0.2">
      <c r="A128">
        <v>2025</v>
      </c>
      <c r="B128">
        <v>44</v>
      </c>
      <c r="C128" t="s">
        <v>108</v>
      </c>
      <c r="D128" t="s">
        <v>104</v>
      </c>
      <c r="E128">
        <v>3</v>
      </c>
      <c r="F128">
        <v>3</v>
      </c>
      <c r="G128">
        <v>3</v>
      </c>
      <c r="H128">
        <v>4</v>
      </c>
      <c r="I128">
        <v>3</v>
      </c>
      <c r="J128">
        <v>4</v>
      </c>
      <c r="K128">
        <v>3</v>
      </c>
      <c r="L128">
        <v>3</v>
      </c>
      <c r="M128">
        <v>3</v>
      </c>
      <c r="N128">
        <v>3</v>
      </c>
      <c r="O128">
        <v>3</v>
      </c>
      <c r="P128">
        <v>4</v>
      </c>
      <c r="Q128">
        <v>3</v>
      </c>
      <c r="R128">
        <f t="shared" si="12"/>
        <v>42</v>
      </c>
      <c r="S128">
        <f t="shared" si="13"/>
        <v>13</v>
      </c>
      <c r="T128">
        <f t="shared" si="14"/>
        <v>29</v>
      </c>
    </row>
    <row r="129" spans="1:20" x14ac:dyDescent="0.2">
      <c r="A129">
        <v>2025</v>
      </c>
      <c r="B129">
        <v>45</v>
      </c>
      <c r="C129" t="s">
        <v>108</v>
      </c>
      <c r="D129" t="s">
        <v>100</v>
      </c>
      <c r="E129">
        <v>3</v>
      </c>
      <c r="F129">
        <v>3</v>
      </c>
      <c r="G129">
        <v>2</v>
      </c>
      <c r="H129">
        <v>3</v>
      </c>
      <c r="I129">
        <v>3</v>
      </c>
      <c r="J129">
        <v>2</v>
      </c>
      <c r="K129">
        <v>2</v>
      </c>
      <c r="L129">
        <v>3</v>
      </c>
      <c r="M129">
        <v>2</v>
      </c>
      <c r="N129">
        <v>3</v>
      </c>
      <c r="O129">
        <v>2</v>
      </c>
      <c r="P129">
        <v>4</v>
      </c>
      <c r="Q129">
        <v>2</v>
      </c>
      <c r="R129">
        <f t="shared" si="12"/>
        <v>34</v>
      </c>
      <c r="S129">
        <f t="shared" si="13"/>
        <v>13</v>
      </c>
      <c r="T129">
        <f t="shared" si="14"/>
        <v>21</v>
      </c>
    </row>
    <row r="130" spans="1:20" x14ac:dyDescent="0.2">
      <c r="A130">
        <v>2025</v>
      </c>
      <c r="B130">
        <v>45</v>
      </c>
      <c r="C130" t="s">
        <v>108</v>
      </c>
      <c r="D130" t="s">
        <v>104</v>
      </c>
      <c r="E130">
        <v>3</v>
      </c>
      <c r="F130">
        <v>3</v>
      </c>
      <c r="G130">
        <v>3</v>
      </c>
      <c r="H130">
        <v>3</v>
      </c>
      <c r="I130">
        <v>3</v>
      </c>
      <c r="J130">
        <v>2</v>
      </c>
      <c r="K130">
        <v>3</v>
      </c>
      <c r="L130">
        <v>3</v>
      </c>
      <c r="M130">
        <v>2</v>
      </c>
      <c r="N130">
        <v>2</v>
      </c>
      <c r="O130">
        <v>2</v>
      </c>
      <c r="P130">
        <v>4</v>
      </c>
      <c r="Q130">
        <v>1</v>
      </c>
      <c r="R130">
        <f t="shared" si="12"/>
        <v>34</v>
      </c>
      <c r="S130">
        <f t="shared" si="13"/>
        <v>13</v>
      </c>
      <c r="T130">
        <f t="shared" si="14"/>
        <v>21</v>
      </c>
    </row>
    <row r="131" spans="1:20" x14ac:dyDescent="0.2">
      <c r="A131">
        <v>2025</v>
      </c>
      <c r="B131">
        <v>46</v>
      </c>
      <c r="C131" t="s">
        <v>108</v>
      </c>
      <c r="D131" t="s">
        <v>100</v>
      </c>
      <c r="E131">
        <v>3</v>
      </c>
      <c r="F131">
        <v>3</v>
      </c>
      <c r="G131">
        <v>3</v>
      </c>
      <c r="H131">
        <v>2</v>
      </c>
      <c r="I131">
        <v>3</v>
      </c>
      <c r="J131">
        <v>3</v>
      </c>
      <c r="K131">
        <v>3</v>
      </c>
      <c r="L131">
        <v>2</v>
      </c>
      <c r="M131">
        <v>2</v>
      </c>
      <c r="N131">
        <v>2</v>
      </c>
      <c r="O131">
        <v>2</v>
      </c>
      <c r="P131">
        <v>4</v>
      </c>
      <c r="Q131">
        <v>1</v>
      </c>
      <c r="R131">
        <f t="shared" si="12"/>
        <v>33</v>
      </c>
      <c r="S131">
        <f t="shared" si="13"/>
        <v>13</v>
      </c>
      <c r="T131">
        <f t="shared" si="14"/>
        <v>20</v>
      </c>
    </row>
    <row r="132" spans="1:20" x14ac:dyDescent="0.2">
      <c r="A132">
        <v>2025</v>
      </c>
      <c r="B132">
        <v>46</v>
      </c>
      <c r="C132" t="s">
        <v>108</v>
      </c>
      <c r="D132" t="s">
        <v>104</v>
      </c>
      <c r="E132">
        <v>2</v>
      </c>
      <c r="F132">
        <v>3</v>
      </c>
      <c r="G132">
        <v>3</v>
      </c>
      <c r="H132">
        <v>2</v>
      </c>
      <c r="I132">
        <v>3</v>
      </c>
      <c r="J132">
        <v>2</v>
      </c>
      <c r="K132">
        <v>2</v>
      </c>
      <c r="L132">
        <v>1</v>
      </c>
      <c r="M132">
        <v>2</v>
      </c>
      <c r="N132">
        <v>2</v>
      </c>
      <c r="O132">
        <v>2</v>
      </c>
      <c r="P132">
        <v>2</v>
      </c>
      <c r="Q132">
        <v>1</v>
      </c>
      <c r="R132">
        <f t="shared" si="12"/>
        <v>27</v>
      </c>
      <c r="S132">
        <f t="shared" si="13"/>
        <v>13</v>
      </c>
      <c r="T132">
        <f t="shared" si="14"/>
        <v>14</v>
      </c>
    </row>
    <row r="133" spans="1:20" x14ac:dyDescent="0.2">
      <c r="A133">
        <v>2025</v>
      </c>
      <c r="B133">
        <v>47</v>
      </c>
      <c r="C133" t="s">
        <v>108</v>
      </c>
      <c r="D133" t="s">
        <v>100</v>
      </c>
      <c r="E133">
        <v>2</v>
      </c>
      <c r="F133">
        <v>3</v>
      </c>
      <c r="G133">
        <v>3</v>
      </c>
      <c r="H133">
        <v>3</v>
      </c>
      <c r="I133">
        <v>3</v>
      </c>
      <c r="J133">
        <v>2</v>
      </c>
      <c r="K133">
        <v>2</v>
      </c>
      <c r="L133">
        <v>3</v>
      </c>
      <c r="M133">
        <v>2</v>
      </c>
      <c r="N133">
        <v>3</v>
      </c>
      <c r="O133">
        <v>3</v>
      </c>
      <c r="P133">
        <v>4</v>
      </c>
      <c r="Q133">
        <v>3</v>
      </c>
      <c r="R133">
        <f t="shared" si="12"/>
        <v>36</v>
      </c>
      <c r="S133">
        <f t="shared" si="13"/>
        <v>13</v>
      </c>
      <c r="T133">
        <f t="shared" si="14"/>
        <v>23</v>
      </c>
    </row>
    <row r="134" spans="1:20" x14ac:dyDescent="0.2">
      <c r="A134">
        <v>2025</v>
      </c>
      <c r="B134">
        <v>48</v>
      </c>
      <c r="C134" t="s">
        <v>108</v>
      </c>
      <c r="D134" t="s">
        <v>100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3</v>
      </c>
      <c r="O134">
        <v>2</v>
      </c>
      <c r="P134">
        <v>0</v>
      </c>
      <c r="Q134">
        <v>0</v>
      </c>
      <c r="R134">
        <f t="shared" si="12"/>
        <v>23</v>
      </c>
      <c r="S134">
        <f t="shared" si="13"/>
        <v>13</v>
      </c>
      <c r="T134">
        <f t="shared" si="14"/>
        <v>10</v>
      </c>
    </row>
    <row r="135" spans="1:20" x14ac:dyDescent="0.2">
      <c r="A135">
        <v>2025</v>
      </c>
      <c r="B135">
        <v>51</v>
      </c>
      <c r="C135" t="s">
        <v>108</v>
      </c>
      <c r="D135" t="s">
        <v>100</v>
      </c>
      <c r="E135">
        <v>3</v>
      </c>
      <c r="F135">
        <v>3</v>
      </c>
      <c r="G135">
        <v>3</v>
      </c>
      <c r="H135">
        <v>3</v>
      </c>
      <c r="I135">
        <v>4</v>
      </c>
      <c r="J135">
        <v>3</v>
      </c>
      <c r="K135">
        <v>3</v>
      </c>
      <c r="L135">
        <v>4</v>
      </c>
      <c r="M135">
        <v>3</v>
      </c>
      <c r="N135">
        <v>3</v>
      </c>
      <c r="O135">
        <v>4</v>
      </c>
      <c r="P135">
        <v>4</v>
      </c>
      <c r="Q135">
        <v>3</v>
      </c>
      <c r="R135">
        <f t="shared" si="12"/>
        <v>43</v>
      </c>
      <c r="S135">
        <f t="shared" si="13"/>
        <v>13</v>
      </c>
      <c r="T135">
        <f t="shared" si="14"/>
        <v>30</v>
      </c>
    </row>
    <row r="136" spans="1:20" x14ac:dyDescent="0.2">
      <c r="A136">
        <v>2025</v>
      </c>
      <c r="B136">
        <v>51</v>
      </c>
      <c r="C136" t="s">
        <v>108</v>
      </c>
      <c r="D136" t="s">
        <v>104</v>
      </c>
      <c r="E136">
        <v>3</v>
      </c>
      <c r="F136">
        <v>3</v>
      </c>
      <c r="G136">
        <v>3</v>
      </c>
      <c r="H136">
        <v>3</v>
      </c>
      <c r="I136">
        <v>3</v>
      </c>
      <c r="J136">
        <v>2</v>
      </c>
      <c r="K136">
        <v>2</v>
      </c>
      <c r="L136">
        <v>3</v>
      </c>
      <c r="M136">
        <v>3</v>
      </c>
      <c r="N136">
        <v>3</v>
      </c>
      <c r="O136">
        <v>3</v>
      </c>
      <c r="P136">
        <v>2</v>
      </c>
      <c r="Q136">
        <v>2</v>
      </c>
      <c r="R136">
        <f t="shared" si="12"/>
        <v>35</v>
      </c>
      <c r="S136">
        <f t="shared" si="13"/>
        <v>13</v>
      </c>
      <c r="T136">
        <f t="shared" si="14"/>
        <v>22</v>
      </c>
    </row>
    <row r="137" spans="1:20" x14ac:dyDescent="0.2">
      <c r="A137">
        <v>2025</v>
      </c>
      <c r="B137">
        <v>52</v>
      </c>
      <c r="C137" t="s">
        <v>108</v>
      </c>
      <c r="D137" t="s">
        <v>100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1</v>
      </c>
      <c r="K137">
        <v>2</v>
      </c>
      <c r="L137">
        <v>3</v>
      </c>
      <c r="M137">
        <v>2</v>
      </c>
      <c r="N137">
        <v>2</v>
      </c>
      <c r="O137">
        <v>2</v>
      </c>
      <c r="P137">
        <v>0</v>
      </c>
      <c r="Q137">
        <v>0</v>
      </c>
      <c r="R137">
        <f t="shared" si="12"/>
        <v>22</v>
      </c>
      <c r="S137">
        <f t="shared" si="13"/>
        <v>13</v>
      </c>
      <c r="T137">
        <f t="shared" si="14"/>
        <v>9</v>
      </c>
    </row>
    <row r="138" spans="1:20" x14ac:dyDescent="0.2">
      <c r="A138">
        <v>2025</v>
      </c>
      <c r="B138">
        <v>53</v>
      </c>
      <c r="C138" t="s">
        <v>108</v>
      </c>
      <c r="D138" t="s">
        <v>100</v>
      </c>
      <c r="E138">
        <v>3</v>
      </c>
      <c r="F138">
        <v>4</v>
      </c>
      <c r="G138">
        <v>3</v>
      </c>
      <c r="H138">
        <v>4</v>
      </c>
      <c r="I138">
        <v>4</v>
      </c>
      <c r="J138">
        <v>4</v>
      </c>
      <c r="K138">
        <v>4</v>
      </c>
      <c r="L138">
        <v>4</v>
      </c>
      <c r="M138">
        <v>4</v>
      </c>
      <c r="N138">
        <v>3</v>
      </c>
      <c r="O138">
        <v>4</v>
      </c>
      <c r="P138">
        <v>4</v>
      </c>
      <c r="Q138">
        <v>3</v>
      </c>
      <c r="R138">
        <f t="shared" si="12"/>
        <v>48</v>
      </c>
      <c r="S138">
        <f t="shared" si="13"/>
        <v>13</v>
      </c>
      <c r="T138">
        <f t="shared" si="14"/>
        <v>35</v>
      </c>
    </row>
    <row r="139" spans="1:20" x14ac:dyDescent="0.2">
      <c r="A139">
        <v>2025</v>
      </c>
      <c r="B139">
        <v>54</v>
      </c>
      <c r="C139" t="s">
        <v>108</v>
      </c>
      <c r="D139" t="s">
        <v>100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3</v>
      </c>
      <c r="K139">
        <v>3</v>
      </c>
      <c r="L139">
        <v>2</v>
      </c>
      <c r="M139">
        <v>2</v>
      </c>
      <c r="N139">
        <v>2</v>
      </c>
      <c r="O139">
        <v>2</v>
      </c>
      <c r="P139">
        <v>4</v>
      </c>
      <c r="Q139">
        <v>1</v>
      </c>
      <c r="R139">
        <f t="shared" si="12"/>
        <v>29</v>
      </c>
      <c r="S139">
        <f t="shared" si="13"/>
        <v>13</v>
      </c>
      <c r="T139">
        <f t="shared" si="14"/>
        <v>16</v>
      </c>
    </row>
    <row r="140" spans="1:20" x14ac:dyDescent="0.2">
      <c r="A140">
        <v>2025</v>
      </c>
      <c r="B140">
        <v>54</v>
      </c>
      <c r="C140" t="s">
        <v>108</v>
      </c>
      <c r="D140" t="s">
        <v>104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1</v>
      </c>
      <c r="K140">
        <v>1</v>
      </c>
      <c r="L140">
        <v>2</v>
      </c>
      <c r="M140">
        <v>2</v>
      </c>
      <c r="N140">
        <v>2</v>
      </c>
      <c r="O140">
        <v>2</v>
      </c>
      <c r="P140">
        <v>0</v>
      </c>
      <c r="Q140">
        <v>0</v>
      </c>
      <c r="R140">
        <f t="shared" si="12"/>
        <v>20</v>
      </c>
      <c r="S140">
        <f t="shared" si="13"/>
        <v>13</v>
      </c>
      <c r="T140">
        <f t="shared" si="14"/>
        <v>7</v>
      </c>
    </row>
    <row r="141" spans="1:20" x14ac:dyDescent="0.2">
      <c r="A141">
        <v>2025</v>
      </c>
      <c r="B141">
        <v>55</v>
      </c>
      <c r="C141" t="s">
        <v>108</v>
      </c>
      <c r="D141" t="s">
        <v>100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0</v>
      </c>
      <c r="Q141">
        <v>0</v>
      </c>
      <c r="R141">
        <f t="shared" si="12"/>
        <v>22</v>
      </c>
      <c r="S141">
        <f t="shared" si="13"/>
        <v>13</v>
      </c>
      <c r="T141">
        <f t="shared" si="14"/>
        <v>9</v>
      </c>
    </row>
    <row r="142" spans="1:20" x14ac:dyDescent="0.2">
      <c r="A142">
        <v>2025</v>
      </c>
      <c r="B142">
        <v>55</v>
      </c>
      <c r="C142" t="s">
        <v>108</v>
      </c>
      <c r="D142" t="s">
        <v>104</v>
      </c>
      <c r="E142">
        <v>2</v>
      </c>
      <c r="F142">
        <v>2</v>
      </c>
      <c r="G142">
        <v>2</v>
      </c>
      <c r="H142">
        <v>1</v>
      </c>
      <c r="I142">
        <v>1</v>
      </c>
      <c r="J142">
        <v>1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0</v>
      </c>
      <c r="Q142">
        <v>0</v>
      </c>
      <c r="R142">
        <f t="shared" si="12"/>
        <v>19</v>
      </c>
      <c r="S142">
        <f t="shared" si="13"/>
        <v>13</v>
      </c>
      <c r="T142">
        <f t="shared" si="14"/>
        <v>6</v>
      </c>
    </row>
    <row r="143" spans="1:20" x14ac:dyDescent="0.2">
      <c r="A143">
        <v>2025</v>
      </c>
      <c r="B143">
        <v>56</v>
      </c>
      <c r="C143" t="s">
        <v>108</v>
      </c>
      <c r="D143" t="s">
        <v>100</v>
      </c>
      <c r="E143">
        <v>3</v>
      </c>
      <c r="F143">
        <v>3</v>
      </c>
      <c r="G143">
        <v>2</v>
      </c>
      <c r="H143">
        <v>2</v>
      </c>
      <c r="I143">
        <v>3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3</v>
      </c>
      <c r="P143">
        <v>4</v>
      </c>
      <c r="Q143">
        <v>2</v>
      </c>
      <c r="R143">
        <f t="shared" si="12"/>
        <v>32</v>
      </c>
      <c r="S143">
        <f t="shared" si="13"/>
        <v>13</v>
      </c>
      <c r="T143">
        <f t="shared" si="14"/>
        <v>19</v>
      </c>
    </row>
    <row r="144" spans="1:20" x14ac:dyDescent="0.2">
      <c r="A144">
        <v>2025</v>
      </c>
      <c r="B144">
        <v>57</v>
      </c>
      <c r="C144" t="s">
        <v>108</v>
      </c>
      <c r="D144" t="s">
        <v>100</v>
      </c>
      <c r="E144">
        <v>3</v>
      </c>
      <c r="F144">
        <v>3</v>
      </c>
      <c r="G144">
        <v>2</v>
      </c>
      <c r="H144">
        <v>2</v>
      </c>
      <c r="I144">
        <v>3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4</v>
      </c>
      <c r="Q144">
        <v>1</v>
      </c>
      <c r="R144">
        <f t="shared" si="12"/>
        <v>30</v>
      </c>
      <c r="S144">
        <f t="shared" si="13"/>
        <v>13</v>
      </c>
      <c r="T144">
        <f t="shared" si="14"/>
        <v>17</v>
      </c>
    </row>
    <row r="145" spans="1:20" x14ac:dyDescent="0.2">
      <c r="A145">
        <v>2025</v>
      </c>
      <c r="B145">
        <v>58</v>
      </c>
      <c r="C145" t="s">
        <v>108</v>
      </c>
      <c r="D145" t="s">
        <v>100</v>
      </c>
      <c r="E145">
        <v>3</v>
      </c>
      <c r="F145">
        <v>3</v>
      </c>
      <c r="G145">
        <v>2</v>
      </c>
      <c r="H145">
        <v>3</v>
      </c>
      <c r="I145">
        <v>3</v>
      </c>
      <c r="J145">
        <v>3</v>
      </c>
      <c r="K145">
        <v>3</v>
      </c>
      <c r="L145">
        <v>3</v>
      </c>
      <c r="M145">
        <v>2</v>
      </c>
      <c r="N145">
        <v>3</v>
      </c>
      <c r="O145">
        <v>3</v>
      </c>
      <c r="P145">
        <v>4</v>
      </c>
      <c r="Q145">
        <v>2</v>
      </c>
      <c r="R145">
        <f t="shared" si="12"/>
        <v>37</v>
      </c>
      <c r="S145">
        <f t="shared" si="13"/>
        <v>13</v>
      </c>
      <c r="T145">
        <f t="shared" si="14"/>
        <v>24</v>
      </c>
    </row>
    <row r="146" spans="1:20" x14ac:dyDescent="0.2">
      <c r="A146">
        <v>2025</v>
      </c>
      <c r="B146">
        <v>58</v>
      </c>
      <c r="C146" t="s">
        <v>108</v>
      </c>
      <c r="D146" t="s">
        <v>104</v>
      </c>
      <c r="E146">
        <v>3</v>
      </c>
      <c r="F146">
        <v>3</v>
      </c>
      <c r="G146">
        <v>3</v>
      </c>
      <c r="H146">
        <v>3</v>
      </c>
      <c r="I146">
        <v>3</v>
      </c>
      <c r="J146">
        <v>3</v>
      </c>
      <c r="K146">
        <v>3</v>
      </c>
      <c r="L146">
        <v>3</v>
      </c>
      <c r="M146">
        <v>2</v>
      </c>
      <c r="N146">
        <v>2</v>
      </c>
      <c r="O146">
        <v>2</v>
      </c>
      <c r="P146">
        <v>4</v>
      </c>
      <c r="Q146">
        <v>3</v>
      </c>
      <c r="R146">
        <f t="shared" ref="R146:R188" si="15">SUM(E146:Q146)</f>
        <v>37</v>
      </c>
      <c r="S146">
        <f t="shared" ref="S146:S188" si="16">COUNT(E146:Q146)</f>
        <v>13</v>
      </c>
      <c r="T146">
        <f t="shared" ref="T146:T188" si="17">R146-S146</f>
        <v>24</v>
      </c>
    </row>
    <row r="147" spans="1:20" x14ac:dyDescent="0.2">
      <c r="A147">
        <v>2025</v>
      </c>
      <c r="B147">
        <v>59</v>
      </c>
      <c r="C147" t="s">
        <v>108</v>
      </c>
      <c r="D147" t="s">
        <v>100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1</v>
      </c>
      <c r="K147">
        <v>1</v>
      </c>
      <c r="L147">
        <v>1</v>
      </c>
      <c r="M147">
        <v>2</v>
      </c>
      <c r="N147">
        <v>2</v>
      </c>
      <c r="O147">
        <v>1</v>
      </c>
      <c r="P147">
        <v>1</v>
      </c>
      <c r="Q147">
        <v>1</v>
      </c>
      <c r="R147">
        <f t="shared" si="15"/>
        <v>20</v>
      </c>
      <c r="S147">
        <f t="shared" si="16"/>
        <v>13</v>
      </c>
      <c r="T147">
        <f t="shared" si="17"/>
        <v>7</v>
      </c>
    </row>
    <row r="148" spans="1:20" x14ac:dyDescent="0.2">
      <c r="A148">
        <v>2025</v>
      </c>
      <c r="B148">
        <v>60</v>
      </c>
      <c r="C148" t="s">
        <v>108</v>
      </c>
      <c r="D148" t="s">
        <v>100</v>
      </c>
      <c r="E148">
        <v>3</v>
      </c>
      <c r="F148">
        <v>4</v>
      </c>
      <c r="G148">
        <v>3</v>
      </c>
      <c r="H148">
        <v>3</v>
      </c>
      <c r="I148">
        <v>4</v>
      </c>
      <c r="J148">
        <v>3</v>
      </c>
      <c r="K148">
        <v>3</v>
      </c>
      <c r="L148">
        <v>3</v>
      </c>
      <c r="M148">
        <v>2</v>
      </c>
      <c r="N148">
        <v>2</v>
      </c>
      <c r="O148">
        <v>3</v>
      </c>
      <c r="P148">
        <v>4</v>
      </c>
      <c r="Q148">
        <v>3</v>
      </c>
      <c r="R148">
        <f t="shared" si="15"/>
        <v>40</v>
      </c>
      <c r="S148">
        <f t="shared" si="16"/>
        <v>13</v>
      </c>
      <c r="T148">
        <f t="shared" si="17"/>
        <v>27</v>
      </c>
    </row>
    <row r="149" spans="1:20" x14ac:dyDescent="0.2">
      <c r="A149">
        <v>2025</v>
      </c>
      <c r="B149">
        <v>61</v>
      </c>
      <c r="C149" t="s">
        <v>108</v>
      </c>
      <c r="D149" t="s">
        <v>100</v>
      </c>
      <c r="E149">
        <v>2</v>
      </c>
      <c r="F149">
        <v>2</v>
      </c>
      <c r="G149">
        <v>2</v>
      </c>
      <c r="H149">
        <v>3</v>
      </c>
      <c r="I149">
        <v>3</v>
      </c>
      <c r="J149">
        <v>3</v>
      </c>
      <c r="K149">
        <v>2</v>
      </c>
      <c r="L149">
        <v>3</v>
      </c>
      <c r="M149">
        <v>3</v>
      </c>
      <c r="N149">
        <v>3</v>
      </c>
      <c r="O149">
        <v>3</v>
      </c>
      <c r="P149">
        <v>0</v>
      </c>
      <c r="Q149">
        <v>1</v>
      </c>
      <c r="R149">
        <f t="shared" si="15"/>
        <v>30</v>
      </c>
      <c r="S149">
        <f t="shared" si="16"/>
        <v>13</v>
      </c>
      <c r="T149">
        <f t="shared" si="17"/>
        <v>17</v>
      </c>
    </row>
    <row r="150" spans="1:20" x14ac:dyDescent="0.2">
      <c r="A150">
        <v>2025</v>
      </c>
      <c r="B150">
        <v>61</v>
      </c>
      <c r="C150" t="s">
        <v>108</v>
      </c>
      <c r="D150" t="s">
        <v>104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1</v>
      </c>
      <c r="K150">
        <v>2</v>
      </c>
      <c r="L150">
        <v>2</v>
      </c>
      <c r="M150">
        <v>2</v>
      </c>
      <c r="N150">
        <v>2</v>
      </c>
      <c r="O150">
        <v>3</v>
      </c>
      <c r="P150">
        <v>1</v>
      </c>
      <c r="Q150">
        <v>0</v>
      </c>
      <c r="R150">
        <f t="shared" si="15"/>
        <v>23</v>
      </c>
      <c r="S150">
        <f t="shared" si="16"/>
        <v>13</v>
      </c>
      <c r="T150">
        <f t="shared" si="17"/>
        <v>10</v>
      </c>
    </row>
    <row r="151" spans="1:20" x14ac:dyDescent="0.2">
      <c r="A151">
        <v>2025</v>
      </c>
      <c r="B151">
        <v>62</v>
      </c>
      <c r="C151" t="s">
        <v>108</v>
      </c>
      <c r="D151" t="s">
        <v>100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0</v>
      </c>
      <c r="Q151">
        <v>0</v>
      </c>
      <c r="R151">
        <f t="shared" si="15"/>
        <v>22</v>
      </c>
      <c r="S151">
        <f t="shared" si="16"/>
        <v>13</v>
      </c>
      <c r="T151">
        <f t="shared" si="17"/>
        <v>9</v>
      </c>
    </row>
    <row r="152" spans="1:20" x14ac:dyDescent="0.2">
      <c r="A152">
        <v>2025</v>
      </c>
      <c r="B152">
        <v>62</v>
      </c>
      <c r="C152" t="s">
        <v>108</v>
      </c>
      <c r="D152" t="s">
        <v>104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0</v>
      </c>
      <c r="Q152">
        <v>0</v>
      </c>
      <c r="R152">
        <f t="shared" si="15"/>
        <v>22</v>
      </c>
      <c r="S152">
        <f t="shared" si="16"/>
        <v>13</v>
      </c>
      <c r="T152">
        <f t="shared" si="17"/>
        <v>9</v>
      </c>
    </row>
    <row r="153" spans="1:20" x14ac:dyDescent="0.2">
      <c r="A153">
        <v>2025</v>
      </c>
      <c r="B153">
        <v>63</v>
      </c>
      <c r="C153" t="s">
        <v>108</v>
      </c>
      <c r="D153" t="s">
        <v>100</v>
      </c>
      <c r="E153">
        <v>2</v>
      </c>
      <c r="F153">
        <v>3</v>
      </c>
      <c r="G153">
        <v>3</v>
      </c>
      <c r="H153">
        <v>2</v>
      </c>
      <c r="I153">
        <v>3</v>
      </c>
      <c r="J153">
        <v>3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1</v>
      </c>
      <c r="R153">
        <f t="shared" si="15"/>
        <v>29</v>
      </c>
      <c r="S153">
        <f t="shared" si="16"/>
        <v>13</v>
      </c>
      <c r="T153">
        <f t="shared" si="17"/>
        <v>16</v>
      </c>
    </row>
    <row r="154" spans="1:20" x14ac:dyDescent="0.2">
      <c r="A154">
        <v>2025</v>
      </c>
      <c r="B154">
        <v>63</v>
      </c>
      <c r="C154" t="s">
        <v>108</v>
      </c>
      <c r="D154" t="s">
        <v>104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1</v>
      </c>
      <c r="Q154">
        <v>0</v>
      </c>
      <c r="R154">
        <f t="shared" si="15"/>
        <v>23</v>
      </c>
      <c r="S154">
        <f t="shared" si="16"/>
        <v>13</v>
      </c>
      <c r="T154">
        <f t="shared" si="17"/>
        <v>10</v>
      </c>
    </row>
    <row r="155" spans="1:20" x14ac:dyDescent="0.2">
      <c r="A155">
        <v>2025</v>
      </c>
      <c r="B155">
        <v>71</v>
      </c>
      <c r="C155" t="s">
        <v>108</v>
      </c>
      <c r="D155" t="s">
        <v>100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2</v>
      </c>
      <c r="M155">
        <v>1</v>
      </c>
      <c r="N155">
        <v>1</v>
      </c>
      <c r="O155">
        <v>2</v>
      </c>
      <c r="P155">
        <v>1</v>
      </c>
      <c r="Q155">
        <v>0</v>
      </c>
      <c r="R155">
        <f t="shared" si="15"/>
        <v>14</v>
      </c>
      <c r="S155">
        <f t="shared" si="16"/>
        <v>13</v>
      </c>
      <c r="T155">
        <f t="shared" si="17"/>
        <v>1</v>
      </c>
    </row>
    <row r="156" spans="1:20" x14ac:dyDescent="0.2">
      <c r="A156">
        <v>2025</v>
      </c>
      <c r="B156">
        <v>72</v>
      </c>
      <c r="C156" t="s">
        <v>108</v>
      </c>
      <c r="D156" t="s">
        <v>100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0</v>
      </c>
      <c r="Q156">
        <v>0</v>
      </c>
      <c r="R156">
        <f t="shared" si="15"/>
        <v>22</v>
      </c>
      <c r="S156">
        <f t="shared" si="16"/>
        <v>13</v>
      </c>
      <c r="T156">
        <f t="shared" si="17"/>
        <v>9</v>
      </c>
    </row>
    <row r="157" spans="1:20" x14ac:dyDescent="0.2">
      <c r="A157">
        <v>2025</v>
      </c>
      <c r="B157">
        <v>73</v>
      </c>
      <c r="C157" t="s">
        <v>108</v>
      </c>
      <c r="D157" t="s">
        <v>100</v>
      </c>
      <c r="E157">
        <v>4</v>
      </c>
      <c r="F157">
        <v>3</v>
      </c>
      <c r="G157">
        <v>2</v>
      </c>
      <c r="H157">
        <v>4</v>
      </c>
      <c r="I157">
        <v>4</v>
      </c>
      <c r="J157">
        <v>3</v>
      </c>
      <c r="K157">
        <v>3</v>
      </c>
      <c r="L157">
        <v>3</v>
      </c>
      <c r="M157">
        <v>3</v>
      </c>
      <c r="N157">
        <v>3</v>
      </c>
      <c r="O157">
        <v>2</v>
      </c>
      <c r="P157">
        <v>3</v>
      </c>
      <c r="Q157">
        <v>2</v>
      </c>
      <c r="R157">
        <f t="shared" si="15"/>
        <v>39</v>
      </c>
      <c r="S157">
        <f t="shared" si="16"/>
        <v>13</v>
      </c>
      <c r="T157">
        <f t="shared" si="17"/>
        <v>26</v>
      </c>
    </row>
    <row r="158" spans="1:20" x14ac:dyDescent="0.2">
      <c r="A158">
        <v>2025</v>
      </c>
      <c r="B158">
        <v>73</v>
      </c>
      <c r="C158" t="s">
        <v>108</v>
      </c>
      <c r="D158" t="s">
        <v>104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4</v>
      </c>
      <c r="Q158">
        <v>1</v>
      </c>
      <c r="R158">
        <f t="shared" si="15"/>
        <v>27</v>
      </c>
      <c r="S158">
        <f t="shared" si="16"/>
        <v>13</v>
      </c>
      <c r="T158">
        <f t="shared" si="17"/>
        <v>14</v>
      </c>
    </row>
    <row r="159" spans="1:20" x14ac:dyDescent="0.2">
      <c r="A159">
        <v>2025</v>
      </c>
      <c r="B159">
        <v>74</v>
      </c>
      <c r="C159" t="s">
        <v>108</v>
      </c>
      <c r="D159" t="s">
        <v>100</v>
      </c>
      <c r="E159">
        <v>3</v>
      </c>
      <c r="F159">
        <v>3</v>
      </c>
      <c r="G159">
        <v>2</v>
      </c>
      <c r="H159">
        <v>2</v>
      </c>
      <c r="I159">
        <v>3</v>
      </c>
      <c r="J159">
        <v>2</v>
      </c>
      <c r="K159">
        <v>3</v>
      </c>
      <c r="L159">
        <v>2</v>
      </c>
      <c r="M159">
        <v>2</v>
      </c>
      <c r="N159">
        <v>3</v>
      </c>
      <c r="O159">
        <v>3</v>
      </c>
      <c r="P159">
        <v>4</v>
      </c>
      <c r="Q159">
        <v>3</v>
      </c>
      <c r="R159">
        <f t="shared" si="15"/>
        <v>35</v>
      </c>
      <c r="S159">
        <f t="shared" si="16"/>
        <v>13</v>
      </c>
      <c r="T159">
        <f t="shared" si="17"/>
        <v>22</v>
      </c>
    </row>
    <row r="160" spans="1:20" x14ac:dyDescent="0.2">
      <c r="A160">
        <v>2025</v>
      </c>
      <c r="B160">
        <v>74</v>
      </c>
      <c r="C160" t="s">
        <v>108</v>
      </c>
      <c r="D160" t="s">
        <v>104</v>
      </c>
      <c r="E160">
        <v>2</v>
      </c>
      <c r="F160">
        <v>2</v>
      </c>
      <c r="G160">
        <v>3</v>
      </c>
      <c r="H160">
        <v>3</v>
      </c>
      <c r="I160">
        <v>3</v>
      </c>
      <c r="J160">
        <v>1</v>
      </c>
      <c r="K160">
        <v>2</v>
      </c>
      <c r="L160">
        <v>3</v>
      </c>
      <c r="M160">
        <v>3</v>
      </c>
      <c r="N160">
        <v>3</v>
      </c>
      <c r="O160">
        <v>3</v>
      </c>
      <c r="P160">
        <v>4</v>
      </c>
      <c r="Q160">
        <v>3</v>
      </c>
      <c r="R160">
        <f t="shared" si="15"/>
        <v>35</v>
      </c>
      <c r="S160">
        <f t="shared" si="16"/>
        <v>13</v>
      </c>
      <c r="T160">
        <f t="shared" si="17"/>
        <v>22</v>
      </c>
    </row>
    <row r="161" spans="1:20" x14ac:dyDescent="0.2">
      <c r="A161">
        <v>2025</v>
      </c>
      <c r="B161">
        <v>75</v>
      </c>
      <c r="C161" t="s">
        <v>108</v>
      </c>
      <c r="D161" t="s">
        <v>100</v>
      </c>
      <c r="E161">
        <v>3</v>
      </c>
      <c r="F161">
        <v>3</v>
      </c>
      <c r="G161">
        <v>3</v>
      </c>
      <c r="H161">
        <v>2</v>
      </c>
      <c r="I161">
        <v>3</v>
      </c>
      <c r="J161">
        <v>3</v>
      </c>
      <c r="K161">
        <v>3</v>
      </c>
      <c r="L161">
        <v>2</v>
      </c>
      <c r="M161">
        <v>2</v>
      </c>
      <c r="N161">
        <v>2</v>
      </c>
      <c r="O161">
        <v>2</v>
      </c>
      <c r="P161">
        <v>4</v>
      </c>
      <c r="Q161">
        <v>1</v>
      </c>
      <c r="R161">
        <f t="shared" si="15"/>
        <v>33</v>
      </c>
      <c r="S161">
        <f t="shared" si="16"/>
        <v>13</v>
      </c>
      <c r="T161">
        <f t="shared" si="17"/>
        <v>20</v>
      </c>
    </row>
    <row r="162" spans="1:20" x14ac:dyDescent="0.2">
      <c r="A162">
        <v>2025</v>
      </c>
      <c r="B162">
        <v>75</v>
      </c>
      <c r="C162" t="s">
        <v>108</v>
      </c>
      <c r="D162" t="s">
        <v>104</v>
      </c>
      <c r="E162">
        <v>3</v>
      </c>
      <c r="F162">
        <v>3</v>
      </c>
      <c r="G162">
        <v>3</v>
      </c>
      <c r="H162">
        <v>2</v>
      </c>
      <c r="I162">
        <v>3</v>
      </c>
      <c r="J162">
        <v>3</v>
      </c>
      <c r="K162">
        <v>3</v>
      </c>
      <c r="L162">
        <v>2</v>
      </c>
      <c r="M162">
        <v>2</v>
      </c>
      <c r="N162">
        <v>2</v>
      </c>
      <c r="O162">
        <v>2</v>
      </c>
      <c r="P162">
        <v>4</v>
      </c>
      <c r="Q162">
        <v>1</v>
      </c>
      <c r="R162">
        <f t="shared" si="15"/>
        <v>33</v>
      </c>
      <c r="S162">
        <f t="shared" si="16"/>
        <v>13</v>
      </c>
      <c r="T162">
        <f t="shared" si="17"/>
        <v>20</v>
      </c>
    </row>
    <row r="163" spans="1:20" x14ac:dyDescent="0.2">
      <c r="A163">
        <v>2025</v>
      </c>
      <c r="B163">
        <v>75</v>
      </c>
      <c r="C163" t="s">
        <v>108</v>
      </c>
      <c r="D163" t="s">
        <v>104</v>
      </c>
      <c r="E163">
        <v>1</v>
      </c>
      <c r="F163">
        <v>1</v>
      </c>
      <c r="G163">
        <v>1</v>
      </c>
      <c r="H163">
        <v>2</v>
      </c>
      <c r="I163">
        <v>2</v>
      </c>
      <c r="J163">
        <v>1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0</v>
      </c>
      <c r="Q163">
        <v>0</v>
      </c>
      <c r="R163">
        <f t="shared" si="15"/>
        <v>17</v>
      </c>
      <c r="S163">
        <f t="shared" si="16"/>
        <v>13</v>
      </c>
      <c r="T163">
        <f t="shared" si="17"/>
        <v>4</v>
      </c>
    </row>
    <row r="164" spans="1:20" x14ac:dyDescent="0.2">
      <c r="A164">
        <v>2025</v>
      </c>
      <c r="B164">
        <v>76</v>
      </c>
      <c r="C164" t="s">
        <v>108</v>
      </c>
      <c r="D164" t="s">
        <v>100</v>
      </c>
      <c r="E164">
        <v>2</v>
      </c>
      <c r="F164">
        <v>3</v>
      </c>
      <c r="G164">
        <v>2</v>
      </c>
      <c r="H164">
        <v>2</v>
      </c>
      <c r="I164">
        <v>2</v>
      </c>
      <c r="J164">
        <v>3</v>
      </c>
      <c r="K164">
        <v>3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f t="shared" si="15"/>
        <v>29</v>
      </c>
      <c r="S164">
        <f t="shared" si="16"/>
        <v>13</v>
      </c>
      <c r="T164">
        <f t="shared" si="17"/>
        <v>16</v>
      </c>
    </row>
    <row r="165" spans="1:20" x14ac:dyDescent="0.2">
      <c r="A165">
        <v>2025</v>
      </c>
      <c r="B165">
        <v>76</v>
      </c>
      <c r="C165" t="s">
        <v>108</v>
      </c>
      <c r="D165" t="s">
        <v>104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1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1</v>
      </c>
      <c r="Q165">
        <v>1</v>
      </c>
      <c r="R165">
        <f t="shared" si="15"/>
        <v>23</v>
      </c>
      <c r="S165">
        <f t="shared" si="16"/>
        <v>13</v>
      </c>
      <c r="T165">
        <f t="shared" si="17"/>
        <v>10</v>
      </c>
    </row>
    <row r="166" spans="1:20" x14ac:dyDescent="0.2">
      <c r="A166">
        <v>2025</v>
      </c>
      <c r="B166">
        <v>77</v>
      </c>
      <c r="C166" t="s">
        <v>108</v>
      </c>
      <c r="D166" t="s">
        <v>100</v>
      </c>
      <c r="E166">
        <v>4</v>
      </c>
      <c r="F166">
        <v>4</v>
      </c>
      <c r="G166">
        <v>4</v>
      </c>
      <c r="H166">
        <v>2</v>
      </c>
      <c r="I166">
        <v>4</v>
      </c>
      <c r="J166">
        <v>4</v>
      </c>
      <c r="K166">
        <v>3</v>
      </c>
      <c r="L166">
        <v>4</v>
      </c>
      <c r="M166">
        <v>4</v>
      </c>
      <c r="N166">
        <v>2</v>
      </c>
      <c r="O166">
        <v>2</v>
      </c>
      <c r="P166">
        <v>4</v>
      </c>
      <c r="Q166">
        <v>4</v>
      </c>
      <c r="R166">
        <f t="shared" si="15"/>
        <v>45</v>
      </c>
      <c r="S166">
        <f t="shared" si="16"/>
        <v>13</v>
      </c>
      <c r="T166">
        <f t="shared" si="17"/>
        <v>32</v>
      </c>
    </row>
    <row r="167" spans="1:20" x14ac:dyDescent="0.2">
      <c r="A167">
        <v>2025</v>
      </c>
      <c r="B167">
        <v>78</v>
      </c>
      <c r="C167" t="s">
        <v>108</v>
      </c>
      <c r="D167" t="s">
        <v>100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3</v>
      </c>
      <c r="K167">
        <v>3</v>
      </c>
      <c r="L167">
        <v>2</v>
      </c>
      <c r="M167">
        <v>2</v>
      </c>
      <c r="N167">
        <v>2</v>
      </c>
      <c r="O167">
        <v>3</v>
      </c>
      <c r="P167">
        <v>0</v>
      </c>
      <c r="Q167">
        <v>0</v>
      </c>
      <c r="R167">
        <f t="shared" si="15"/>
        <v>25</v>
      </c>
      <c r="S167">
        <f t="shared" si="16"/>
        <v>13</v>
      </c>
      <c r="T167">
        <f t="shared" si="17"/>
        <v>12</v>
      </c>
    </row>
    <row r="168" spans="1:20" x14ac:dyDescent="0.2">
      <c r="A168">
        <v>2025</v>
      </c>
      <c r="B168">
        <v>78</v>
      </c>
      <c r="C168" t="s">
        <v>108</v>
      </c>
      <c r="D168" t="s">
        <v>104</v>
      </c>
      <c r="E168">
        <v>2</v>
      </c>
      <c r="F168">
        <v>3</v>
      </c>
      <c r="G168">
        <v>2</v>
      </c>
      <c r="H168">
        <v>2</v>
      </c>
      <c r="I168">
        <v>2</v>
      </c>
      <c r="J168">
        <v>1</v>
      </c>
      <c r="K168">
        <v>1</v>
      </c>
      <c r="L168">
        <v>1</v>
      </c>
      <c r="M168">
        <v>2</v>
      </c>
      <c r="N168">
        <v>2</v>
      </c>
      <c r="O168">
        <v>2</v>
      </c>
      <c r="P168">
        <v>0</v>
      </c>
      <c r="Q168">
        <v>0</v>
      </c>
      <c r="R168">
        <f t="shared" si="15"/>
        <v>20</v>
      </c>
      <c r="S168">
        <f t="shared" si="16"/>
        <v>13</v>
      </c>
      <c r="T168">
        <f t="shared" si="17"/>
        <v>7</v>
      </c>
    </row>
    <row r="169" spans="1:20" x14ac:dyDescent="0.2">
      <c r="A169">
        <v>2025</v>
      </c>
      <c r="B169">
        <v>79</v>
      </c>
      <c r="C169" t="s">
        <v>108</v>
      </c>
      <c r="D169" t="s">
        <v>100</v>
      </c>
      <c r="E169">
        <v>3</v>
      </c>
      <c r="F169">
        <v>3</v>
      </c>
      <c r="G169">
        <v>3</v>
      </c>
      <c r="H169">
        <v>3</v>
      </c>
      <c r="I169">
        <v>3</v>
      </c>
      <c r="J169">
        <v>2</v>
      </c>
      <c r="K169">
        <v>3</v>
      </c>
      <c r="L169">
        <v>2</v>
      </c>
      <c r="M169">
        <v>2</v>
      </c>
      <c r="N169">
        <v>2</v>
      </c>
      <c r="O169">
        <v>3</v>
      </c>
      <c r="P169">
        <v>2</v>
      </c>
      <c r="Q169">
        <v>3</v>
      </c>
      <c r="R169">
        <f t="shared" si="15"/>
        <v>34</v>
      </c>
      <c r="S169">
        <f t="shared" si="16"/>
        <v>13</v>
      </c>
      <c r="T169">
        <f t="shared" si="17"/>
        <v>21</v>
      </c>
    </row>
    <row r="170" spans="1:20" x14ac:dyDescent="0.2">
      <c r="A170">
        <v>2025</v>
      </c>
      <c r="B170">
        <v>79</v>
      </c>
      <c r="C170" t="s">
        <v>108</v>
      </c>
      <c r="D170" t="s">
        <v>104</v>
      </c>
      <c r="E170">
        <v>4</v>
      </c>
      <c r="F170">
        <v>4</v>
      </c>
      <c r="G170">
        <v>4</v>
      </c>
      <c r="H170">
        <v>4</v>
      </c>
      <c r="I170">
        <v>4</v>
      </c>
      <c r="J170">
        <v>3</v>
      </c>
      <c r="K170">
        <v>4</v>
      </c>
      <c r="L170">
        <v>4</v>
      </c>
      <c r="M170">
        <v>2</v>
      </c>
      <c r="N170">
        <v>3</v>
      </c>
      <c r="O170">
        <v>4</v>
      </c>
      <c r="P170">
        <v>3</v>
      </c>
      <c r="Q170">
        <v>4</v>
      </c>
      <c r="R170">
        <f t="shared" si="15"/>
        <v>47</v>
      </c>
      <c r="S170">
        <f t="shared" si="16"/>
        <v>13</v>
      </c>
      <c r="T170">
        <f t="shared" si="17"/>
        <v>34</v>
      </c>
    </row>
    <row r="171" spans="1:20" x14ac:dyDescent="0.2">
      <c r="A171">
        <v>2025</v>
      </c>
      <c r="B171">
        <v>80</v>
      </c>
      <c r="C171" t="s">
        <v>108</v>
      </c>
      <c r="D171" t="s">
        <v>100</v>
      </c>
      <c r="E171">
        <v>3</v>
      </c>
      <c r="F171">
        <v>3</v>
      </c>
      <c r="G171">
        <v>3</v>
      </c>
      <c r="H171">
        <v>3</v>
      </c>
      <c r="I171">
        <v>3</v>
      </c>
      <c r="J171">
        <v>3</v>
      </c>
      <c r="K171">
        <v>3</v>
      </c>
      <c r="L171">
        <v>4</v>
      </c>
      <c r="M171">
        <v>4</v>
      </c>
      <c r="N171">
        <v>4</v>
      </c>
      <c r="O171">
        <v>4</v>
      </c>
      <c r="P171">
        <v>4</v>
      </c>
      <c r="Q171">
        <v>1</v>
      </c>
      <c r="R171">
        <f t="shared" si="15"/>
        <v>42</v>
      </c>
      <c r="S171">
        <f t="shared" si="16"/>
        <v>13</v>
      </c>
      <c r="T171">
        <f t="shared" si="17"/>
        <v>29</v>
      </c>
    </row>
    <row r="172" spans="1:20" x14ac:dyDescent="0.2">
      <c r="A172">
        <v>2025</v>
      </c>
      <c r="B172">
        <v>80</v>
      </c>
      <c r="C172" t="s">
        <v>108</v>
      </c>
      <c r="D172" t="s">
        <v>104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1</v>
      </c>
      <c r="K172">
        <v>1</v>
      </c>
      <c r="L172">
        <v>2</v>
      </c>
      <c r="M172">
        <v>2</v>
      </c>
      <c r="N172">
        <v>2</v>
      </c>
      <c r="O172">
        <v>2</v>
      </c>
      <c r="P172">
        <v>1</v>
      </c>
      <c r="Q172">
        <v>1</v>
      </c>
      <c r="R172">
        <f t="shared" si="15"/>
        <v>22</v>
      </c>
      <c r="S172">
        <f t="shared" si="16"/>
        <v>13</v>
      </c>
      <c r="T172">
        <f t="shared" si="17"/>
        <v>9</v>
      </c>
    </row>
    <row r="173" spans="1:20" x14ac:dyDescent="0.2">
      <c r="A173">
        <v>2025</v>
      </c>
      <c r="B173">
        <v>91</v>
      </c>
      <c r="C173" t="s">
        <v>108</v>
      </c>
      <c r="D173" t="s">
        <v>100</v>
      </c>
      <c r="E173">
        <v>4</v>
      </c>
      <c r="F173">
        <v>4</v>
      </c>
      <c r="G173">
        <v>4</v>
      </c>
      <c r="H173">
        <v>4</v>
      </c>
      <c r="I173">
        <v>4</v>
      </c>
      <c r="J173">
        <v>3</v>
      </c>
      <c r="K173">
        <v>3</v>
      </c>
      <c r="L173">
        <v>4</v>
      </c>
      <c r="M173">
        <v>2</v>
      </c>
      <c r="N173">
        <v>4</v>
      </c>
      <c r="O173">
        <v>4</v>
      </c>
      <c r="P173">
        <v>4</v>
      </c>
      <c r="Q173">
        <v>4</v>
      </c>
      <c r="R173">
        <f t="shared" si="15"/>
        <v>48</v>
      </c>
      <c r="S173">
        <f t="shared" si="16"/>
        <v>13</v>
      </c>
      <c r="T173">
        <f t="shared" si="17"/>
        <v>35</v>
      </c>
    </row>
    <row r="174" spans="1:20" x14ac:dyDescent="0.2">
      <c r="A174">
        <v>2025</v>
      </c>
      <c r="B174">
        <v>91</v>
      </c>
      <c r="C174" t="s">
        <v>108</v>
      </c>
      <c r="D174" t="s">
        <v>104</v>
      </c>
      <c r="E174">
        <v>3</v>
      </c>
      <c r="F174">
        <v>3</v>
      </c>
      <c r="G174">
        <v>3</v>
      </c>
      <c r="H174">
        <v>4</v>
      </c>
      <c r="I174">
        <v>3</v>
      </c>
      <c r="J174">
        <v>3</v>
      </c>
      <c r="K174">
        <v>3</v>
      </c>
      <c r="L174">
        <v>3</v>
      </c>
      <c r="M174">
        <v>2</v>
      </c>
      <c r="N174">
        <v>3</v>
      </c>
      <c r="O174">
        <v>3</v>
      </c>
      <c r="P174">
        <v>4</v>
      </c>
      <c r="Q174">
        <v>3</v>
      </c>
      <c r="R174">
        <f t="shared" si="15"/>
        <v>40</v>
      </c>
      <c r="S174">
        <f t="shared" si="16"/>
        <v>13</v>
      </c>
      <c r="T174">
        <f t="shared" si="17"/>
        <v>27</v>
      </c>
    </row>
    <row r="175" spans="1:20" x14ac:dyDescent="0.2">
      <c r="A175">
        <v>2025</v>
      </c>
      <c r="B175">
        <v>92</v>
      </c>
      <c r="C175" t="s">
        <v>108</v>
      </c>
      <c r="D175" t="s">
        <v>100</v>
      </c>
      <c r="E175">
        <v>3</v>
      </c>
      <c r="F175">
        <v>3</v>
      </c>
      <c r="G175">
        <v>2</v>
      </c>
      <c r="H175">
        <v>3</v>
      </c>
      <c r="I175">
        <v>3</v>
      </c>
      <c r="J175">
        <v>3</v>
      </c>
      <c r="K175">
        <v>3</v>
      </c>
      <c r="L175">
        <v>2</v>
      </c>
      <c r="M175">
        <v>2</v>
      </c>
      <c r="N175">
        <v>3</v>
      </c>
      <c r="O175">
        <v>3</v>
      </c>
      <c r="P175">
        <v>4</v>
      </c>
      <c r="Q175">
        <v>1</v>
      </c>
      <c r="R175">
        <f t="shared" si="15"/>
        <v>35</v>
      </c>
      <c r="S175">
        <f t="shared" si="16"/>
        <v>13</v>
      </c>
      <c r="T175">
        <f t="shared" si="17"/>
        <v>22</v>
      </c>
    </row>
    <row r="176" spans="1:20" x14ac:dyDescent="0.2">
      <c r="A176">
        <v>2025</v>
      </c>
      <c r="B176">
        <v>92</v>
      </c>
      <c r="C176" t="s">
        <v>108</v>
      </c>
      <c r="D176" t="s">
        <v>104</v>
      </c>
      <c r="E176">
        <v>1</v>
      </c>
      <c r="F176">
        <v>2</v>
      </c>
      <c r="G176">
        <v>2</v>
      </c>
      <c r="H176">
        <v>2</v>
      </c>
      <c r="I176">
        <v>1</v>
      </c>
      <c r="J176">
        <v>1</v>
      </c>
      <c r="K176">
        <v>1</v>
      </c>
      <c r="L176">
        <v>2</v>
      </c>
      <c r="M176">
        <v>2</v>
      </c>
      <c r="N176">
        <v>2</v>
      </c>
      <c r="O176">
        <v>2</v>
      </c>
      <c r="P176">
        <v>4</v>
      </c>
      <c r="Q176">
        <v>1</v>
      </c>
      <c r="R176">
        <f t="shared" si="15"/>
        <v>23</v>
      </c>
      <c r="S176">
        <f t="shared" si="16"/>
        <v>13</v>
      </c>
      <c r="T176">
        <f t="shared" si="17"/>
        <v>10</v>
      </c>
    </row>
    <row r="177" spans="1:20" x14ac:dyDescent="0.2">
      <c r="A177">
        <v>2025</v>
      </c>
      <c r="B177">
        <v>93</v>
      </c>
      <c r="C177" t="s">
        <v>108</v>
      </c>
      <c r="D177" t="s">
        <v>100</v>
      </c>
      <c r="E177">
        <v>3</v>
      </c>
      <c r="F177">
        <v>3</v>
      </c>
      <c r="G177">
        <v>2</v>
      </c>
      <c r="H177">
        <v>3</v>
      </c>
      <c r="I177">
        <v>3</v>
      </c>
      <c r="J177">
        <v>3</v>
      </c>
      <c r="K177">
        <v>3</v>
      </c>
      <c r="L177">
        <v>3</v>
      </c>
      <c r="M177">
        <v>3</v>
      </c>
      <c r="N177">
        <v>3</v>
      </c>
      <c r="O177">
        <v>3</v>
      </c>
      <c r="P177">
        <v>4</v>
      </c>
      <c r="Q177">
        <v>4</v>
      </c>
      <c r="R177">
        <f t="shared" si="15"/>
        <v>40</v>
      </c>
      <c r="S177">
        <f t="shared" si="16"/>
        <v>13</v>
      </c>
      <c r="T177">
        <f t="shared" si="17"/>
        <v>27</v>
      </c>
    </row>
    <row r="178" spans="1:20" x14ac:dyDescent="0.2">
      <c r="A178">
        <v>2025</v>
      </c>
      <c r="B178">
        <v>93</v>
      </c>
      <c r="C178" t="s">
        <v>108</v>
      </c>
      <c r="D178" t="s">
        <v>104</v>
      </c>
      <c r="E178">
        <v>3</v>
      </c>
      <c r="F178">
        <v>3</v>
      </c>
      <c r="G178">
        <v>3</v>
      </c>
      <c r="H178">
        <v>4</v>
      </c>
      <c r="I178">
        <v>4</v>
      </c>
      <c r="J178">
        <v>4</v>
      </c>
      <c r="K178">
        <v>4</v>
      </c>
      <c r="L178">
        <v>4</v>
      </c>
      <c r="M178">
        <v>3</v>
      </c>
      <c r="N178">
        <v>3</v>
      </c>
      <c r="O178">
        <v>3</v>
      </c>
      <c r="P178">
        <v>4</v>
      </c>
      <c r="Q178">
        <v>4</v>
      </c>
      <c r="R178">
        <f t="shared" si="15"/>
        <v>46</v>
      </c>
      <c r="S178">
        <f t="shared" si="16"/>
        <v>13</v>
      </c>
      <c r="T178">
        <f t="shared" si="17"/>
        <v>33</v>
      </c>
    </row>
    <row r="179" spans="1:20" x14ac:dyDescent="0.2">
      <c r="A179">
        <v>2025</v>
      </c>
      <c r="B179">
        <v>94</v>
      </c>
      <c r="C179" t="s">
        <v>108</v>
      </c>
      <c r="D179" t="s">
        <v>100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4</v>
      </c>
      <c r="Q179">
        <v>1</v>
      </c>
      <c r="R179">
        <f t="shared" si="15"/>
        <v>27</v>
      </c>
      <c r="S179">
        <f t="shared" si="16"/>
        <v>13</v>
      </c>
      <c r="T179">
        <f t="shared" si="17"/>
        <v>14</v>
      </c>
    </row>
    <row r="180" spans="1:20" x14ac:dyDescent="0.2">
      <c r="A180">
        <v>2025</v>
      </c>
      <c r="B180">
        <v>94</v>
      </c>
      <c r="C180" t="s">
        <v>108</v>
      </c>
      <c r="D180" t="s">
        <v>104</v>
      </c>
      <c r="E180">
        <v>2</v>
      </c>
      <c r="F180">
        <v>2</v>
      </c>
      <c r="G180">
        <v>2</v>
      </c>
      <c r="H180">
        <v>2</v>
      </c>
      <c r="I180">
        <v>3</v>
      </c>
      <c r="J180">
        <v>2</v>
      </c>
      <c r="K180">
        <v>2</v>
      </c>
      <c r="L180">
        <v>3</v>
      </c>
      <c r="M180">
        <v>2</v>
      </c>
      <c r="N180">
        <v>2</v>
      </c>
      <c r="O180">
        <v>2</v>
      </c>
      <c r="P180">
        <v>2</v>
      </c>
      <c r="Q180">
        <v>1</v>
      </c>
      <c r="R180">
        <f t="shared" si="15"/>
        <v>27</v>
      </c>
      <c r="S180">
        <f t="shared" si="16"/>
        <v>13</v>
      </c>
      <c r="T180">
        <f t="shared" si="17"/>
        <v>14</v>
      </c>
    </row>
    <row r="181" spans="1:20" x14ac:dyDescent="0.2">
      <c r="A181">
        <v>2025</v>
      </c>
      <c r="B181">
        <v>95</v>
      </c>
      <c r="C181" t="s">
        <v>108</v>
      </c>
      <c r="D181" t="s">
        <v>100</v>
      </c>
      <c r="E181">
        <v>3</v>
      </c>
      <c r="F181">
        <v>3</v>
      </c>
      <c r="G181">
        <v>3</v>
      </c>
      <c r="H181">
        <v>3</v>
      </c>
      <c r="I181">
        <v>3</v>
      </c>
      <c r="J181">
        <v>3</v>
      </c>
      <c r="K181">
        <v>3</v>
      </c>
      <c r="L181">
        <v>3</v>
      </c>
      <c r="M181">
        <v>2</v>
      </c>
      <c r="N181">
        <v>3</v>
      </c>
      <c r="O181">
        <v>3</v>
      </c>
      <c r="P181">
        <v>3</v>
      </c>
      <c r="Q181">
        <v>2</v>
      </c>
      <c r="R181">
        <f t="shared" si="15"/>
        <v>37</v>
      </c>
      <c r="S181">
        <f t="shared" si="16"/>
        <v>13</v>
      </c>
      <c r="T181">
        <f t="shared" si="17"/>
        <v>24</v>
      </c>
    </row>
    <row r="182" spans="1:20" x14ac:dyDescent="0.2">
      <c r="A182">
        <v>2025</v>
      </c>
      <c r="B182">
        <v>95</v>
      </c>
      <c r="C182" t="s">
        <v>108</v>
      </c>
      <c r="D182" t="s">
        <v>104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3</v>
      </c>
      <c r="M182">
        <v>2</v>
      </c>
      <c r="N182">
        <v>2</v>
      </c>
      <c r="O182">
        <v>2</v>
      </c>
      <c r="P182">
        <v>4</v>
      </c>
      <c r="Q182">
        <v>1</v>
      </c>
      <c r="R182">
        <f t="shared" si="15"/>
        <v>28</v>
      </c>
      <c r="S182">
        <f t="shared" si="16"/>
        <v>13</v>
      </c>
      <c r="T182">
        <f t="shared" si="17"/>
        <v>15</v>
      </c>
    </row>
    <row r="183" spans="1:20" x14ac:dyDescent="0.2">
      <c r="A183">
        <v>2025</v>
      </c>
      <c r="B183">
        <v>96</v>
      </c>
      <c r="C183" t="s">
        <v>108</v>
      </c>
      <c r="D183" t="s">
        <v>100</v>
      </c>
      <c r="E183">
        <v>3</v>
      </c>
      <c r="F183">
        <v>3</v>
      </c>
      <c r="G183">
        <v>3</v>
      </c>
      <c r="H183">
        <v>3</v>
      </c>
      <c r="I183">
        <v>3</v>
      </c>
      <c r="J183">
        <v>3</v>
      </c>
      <c r="K183">
        <v>3</v>
      </c>
      <c r="L183">
        <v>3</v>
      </c>
      <c r="M183">
        <v>2</v>
      </c>
      <c r="N183">
        <v>3</v>
      </c>
      <c r="O183">
        <v>3</v>
      </c>
      <c r="P183">
        <v>4</v>
      </c>
      <c r="Q183">
        <v>2</v>
      </c>
      <c r="R183">
        <f t="shared" si="15"/>
        <v>38</v>
      </c>
      <c r="S183">
        <f t="shared" si="16"/>
        <v>13</v>
      </c>
      <c r="T183">
        <f t="shared" si="17"/>
        <v>25</v>
      </c>
    </row>
    <row r="184" spans="1:20" x14ac:dyDescent="0.2">
      <c r="A184">
        <v>2025</v>
      </c>
      <c r="B184">
        <v>96</v>
      </c>
      <c r="C184" t="s">
        <v>108</v>
      </c>
      <c r="D184" t="s">
        <v>104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0</v>
      </c>
      <c r="Q184">
        <v>0</v>
      </c>
      <c r="R184">
        <f t="shared" si="15"/>
        <v>22</v>
      </c>
      <c r="S184">
        <f t="shared" si="16"/>
        <v>13</v>
      </c>
      <c r="T184">
        <f t="shared" si="17"/>
        <v>9</v>
      </c>
    </row>
    <row r="185" spans="1:20" x14ac:dyDescent="0.2">
      <c r="A185">
        <v>2025</v>
      </c>
      <c r="B185">
        <v>97</v>
      </c>
      <c r="C185" t="s">
        <v>108</v>
      </c>
      <c r="D185" t="s">
        <v>100</v>
      </c>
      <c r="E185">
        <v>3</v>
      </c>
      <c r="F185">
        <v>2</v>
      </c>
      <c r="G185">
        <v>3</v>
      </c>
      <c r="H185">
        <v>3</v>
      </c>
      <c r="I185">
        <v>3</v>
      </c>
      <c r="J185">
        <v>3</v>
      </c>
      <c r="K185">
        <v>3</v>
      </c>
      <c r="L185">
        <v>3</v>
      </c>
      <c r="M185">
        <v>3</v>
      </c>
      <c r="N185">
        <v>3</v>
      </c>
      <c r="O185">
        <v>3</v>
      </c>
      <c r="P185">
        <v>2</v>
      </c>
      <c r="Q185">
        <v>4</v>
      </c>
      <c r="R185">
        <f t="shared" si="15"/>
        <v>38</v>
      </c>
      <c r="S185">
        <f t="shared" si="16"/>
        <v>13</v>
      </c>
      <c r="T185">
        <f t="shared" si="17"/>
        <v>25</v>
      </c>
    </row>
    <row r="186" spans="1:20" x14ac:dyDescent="0.2">
      <c r="A186">
        <v>2025</v>
      </c>
      <c r="B186">
        <v>97</v>
      </c>
      <c r="C186" t="s">
        <v>108</v>
      </c>
      <c r="D186" t="s">
        <v>104</v>
      </c>
      <c r="E186">
        <v>2</v>
      </c>
      <c r="F186">
        <v>2</v>
      </c>
      <c r="G186">
        <v>3</v>
      </c>
      <c r="H186">
        <v>2</v>
      </c>
      <c r="I186">
        <v>2</v>
      </c>
      <c r="J186">
        <v>1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f t="shared" si="15"/>
        <v>25</v>
      </c>
      <c r="S186">
        <f t="shared" si="16"/>
        <v>13</v>
      </c>
      <c r="T186">
        <f t="shared" si="17"/>
        <v>12</v>
      </c>
    </row>
    <row r="187" spans="1:20" x14ac:dyDescent="0.2">
      <c r="A187">
        <v>2025</v>
      </c>
      <c r="B187">
        <v>98</v>
      </c>
      <c r="C187" t="s">
        <v>108</v>
      </c>
      <c r="D187" t="s">
        <v>100</v>
      </c>
      <c r="E187">
        <v>3</v>
      </c>
      <c r="F187">
        <v>3</v>
      </c>
      <c r="G187">
        <v>3</v>
      </c>
      <c r="H187">
        <v>3</v>
      </c>
      <c r="I187">
        <v>3</v>
      </c>
      <c r="J187">
        <v>4</v>
      </c>
      <c r="K187">
        <v>4</v>
      </c>
      <c r="L187">
        <v>3</v>
      </c>
      <c r="M187">
        <v>2</v>
      </c>
      <c r="N187">
        <v>4</v>
      </c>
      <c r="O187">
        <v>4</v>
      </c>
      <c r="P187">
        <v>4</v>
      </c>
      <c r="Q187">
        <v>1</v>
      </c>
      <c r="R187">
        <f t="shared" si="15"/>
        <v>41</v>
      </c>
      <c r="S187">
        <f t="shared" si="16"/>
        <v>13</v>
      </c>
      <c r="T187">
        <f t="shared" si="17"/>
        <v>28</v>
      </c>
    </row>
    <row r="188" spans="1:20" x14ac:dyDescent="0.2">
      <c r="A188">
        <v>2025</v>
      </c>
      <c r="B188">
        <v>99</v>
      </c>
      <c r="C188" t="s">
        <v>108</v>
      </c>
      <c r="D188" t="s">
        <v>100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0</v>
      </c>
      <c r="Q188">
        <v>0</v>
      </c>
      <c r="R188">
        <f t="shared" si="15"/>
        <v>22</v>
      </c>
      <c r="S188">
        <f t="shared" si="16"/>
        <v>13</v>
      </c>
      <c r="T188">
        <f t="shared" si="17"/>
        <v>9</v>
      </c>
    </row>
  </sheetData>
  <sortState xmlns:xlrd2="http://schemas.microsoft.com/office/spreadsheetml/2017/richdata2" ref="B81:U254">
    <sortCondition ref="B81:B25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3D11-A1C4-4A9E-BFFD-80A1E91BBC9C}">
  <dimension ref="A1:T225"/>
  <sheetViews>
    <sheetView topLeftCell="B1" workbookViewId="0">
      <selection activeCell="T130" sqref="T130"/>
    </sheetView>
  </sheetViews>
  <sheetFormatPr baseColWidth="10" defaultRowHeight="15" x14ac:dyDescent="0.2"/>
  <sheetData>
    <row r="1" spans="1:20" x14ac:dyDescent="0.2">
      <c r="A1" t="s">
        <v>497</v>
      </c>
      <c r="B1" s="49" t="s">
        <v>82</v>
      </c>
      <c r="C1" s="49" t="s">
        <v>171</v>
      </c>
      <c r="D1" s="50" t="s">
        <v>172</v>
      </c>
      <c r="E1" s="50" t="s">
        <v>173</v>
      </c>
      <c r="F1" s="50" t="s">
        <v>174</v>
      </c>
      <c r="G1" s="50" t="s">
        <v>175</v>
      </c>
      <c r="H1" s="50" t="s">
        <v>176</v>
      </c>
      <c r="I1" s="50" t="s">
        <v>177</v>
      </c>
      <c r="J1" s="50" t="s">
        <v>178</v>
      </c>
      <c r="K1" s="50" t="s">
        <v>179</v>
      </c>
      <c r="L1" s="50" t="s">
        <v>180</v>
      </c>
      <c r="M1" s="50" t="s">
        <v>181</v>
      </c>
      <c r="N1" s="50" t="s">
        <v>182</v>
      </c>
      <c r="O1" s="50" t="s">
        <v>183</v>
      </c>
      <c r="P1" s="50" t="s">
        <v>184</v>
      </c>
      <c r="Q1" s="50" t="s">
        <v>185</v>
      </c>
      <c r="R1" s="51" t="s">
        <v>186</v>
      </c>
      <c r="S1" s="51" t="s">
        <v>187</v>
      </c>
      <c r="T1" s="51" t="s">
        <v>188</v>
      </c>
    </row>
    <row r="2" spans="1:20" x14ac:dyDescent="0.2">
      <c r="A2">
        <v>2024</v>
      </c>
      <c r="B2" s="52" t="s">
        <v>20</v>
      </c>
      <c r="C2" s="49" t="s">
        <v>100</v>
      </c>
      <c r="D2" s="51">
        <v>4</v>
      </c>
      <c r="E2" s="51">
        <v>4</v>
      </c>
      <c r="F2" s="51">
        <v>4</v>
      </c>
      <c r="G2" s="51">
        <v>3</v>
      </c>
      <c r="H2" s="51">
        <v>4</v>
      </c>
      <c r="I2" s="51">
        <v>4</v>
      </c>
      <c r="J2" s="51">
        <v>3</v>
      </c>
      <c r="K2" s="51">
        <v>4</v>
      </c>
      <c r="L2" s="51">
        <v>4</v>
      </c>
      <c r="M2" s="51">
        <v>4</v>
      </c>
      <c r="N2" s="51">
        <v>4</v>
      </c>
      <c r="O2" s="51">
        <v>4</v>
      </c>
      <c r="P2" s="51">
        <v>3</v>
      </c>
      <c r="Q2" s="51">
        <v>3</v>
      </c>
      <c r="R2" s="51">
        <v>52</v>
      </c>
      <c r="S2" s="51"/>
    </row>
    <row r="3" spans="1:20" x14ac:dyDescent="0.2">
      <c r="A3">
        <v>2024</v>
      </c>
      <c r="B3" s="49" t="s">
        <v>23</v>
      </c>
      <c r="C3" s="49" t="s">
        <v>100</v>
      </c>
      <c r="D3" s="51">
        <v>4</v>
      </c>
      <c r="E3" s="51">
        <v>4</v>
      </c>
      <c r="F3" s="51">
        <v>4</v>
      </c>
      <c r="G3" s="51">
        <v>4</v>
      </c>
      <c r="H3" s="51">
        <v>4</v>
      </c>
      <c r="I3" s="51">
        <v>3</v>
      </c>
      <c r="J3" s="51">
        <v>3</v>
      </c>
      <c r="K3" s="51">
        <v>3</v>
      </c>
      <c r="L3" s="51">
        <v>4</v>
      </c>
      <c r="M3" s="51">
        <v>4</v>
      </c>
      <c r="N3" s="51">
        <v>4</v>
      </c>
      <c r="O3" s="51">
        <v>4</v>
      </c>
      <c r="P3" s="51">
        <v>3</v>
      </c>
      <c r="Q3" s="51">
        <v>1</v>
      </c>
      <c r="R3" s="51">
        <v>49</v>
      </c>
      <c r="S3" s="51"/>
    </row>
    <row r="4" spans="1:20" x14ac:dyDescent="0.2">
      <c r="A4">
        <v>2024</v>
      </c>
      <c r="B4" s="49" t="s">
        <v>26</v>
      </c>
      <c r="C4" s="43" t="s">
        <v>100</v>
      </c>
      <c r="D4" s="51">
        <v>4</v>
      </c>
      <c r="E4" s="51">
        <v>4</v>
      </c>
      <c r="F4" s="51">
        <v>4</v>
      </c>
      <c r="G4" s="51">
        <v>4</v>
      </c>
      <c r="H4" s="51">
        <v>4</v>
      </c>
      <c r="I4" s="51">
        <v>3</v>
      </c>
      <c r="J4" s="51">
        <v>4</v>
      </c>
      <c r="K4" s="51">
        <v>3</v>
      </c>
      <c r="L4" s="51">
        <v>4</v>
      </c>
      <c r="M4" s="51">
        <v>3</v>
      </c>
      <c r="N4" s="51">
        <v>4</v>
      </c>
      <c r="O4" s="51">
        <v>4</v>
      </c>
      <c r="P4" s="51">
        <v>3</v>
      </c>
      <c r="Q4" s="51">
        <v>3</v>
      </c>
      <c r="R4" s="51">
        <v>51</v>
      </c>
      <c r="S4" s="51"/>
    </row>
    <row r="5" spans="1:20" x14ac:dyDescent="0.2">
      <c r="A5">
        <v>2024</v>
      </c>
      <c r="B5" s="49" t="s">
        <v>27</v>
      </c>
      <c r="C5" s="43" t="s">
        <v>100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 s="51">
        <v>3</v>
      </c>
      <c r="R5" s="51">
        <v>55</v>
      </c>
      <c r="S5" s="51"/>
    </row>
    <row r="6" spans="1:20" x14ac:dyDescent="0.2">
      <c r="A6">
        <v>2024</v>
      </c>
      <c r="B6" s="49" t="s">
        <v>29</v>
      </c>
      <c r="C6" s="49" t="s">
        <v>100</v>
      </c>
      <c r="D6">
        <v>4</v>
      </c>
      <c r="E6">
        <v>4</v>
      </c>
      <c r="F6">
        <v>4</v>
      </c>
      <c r="G6">
        <v>3</v>
      </c>
      <c r="H6">
        <v>4</v>
      </c>
      <c r="I6">
        <v>4</v>
      </c>
      <c r="J6">
        <v>4</v>
      </c>
      <c r="K6">
        <v>3</v>
      </c>
      <c r="L6">
        <v>4</v>
      </c>
      <c r="M6">
        <v>4</v>
      </c>
      <c r="N6">
        <v>4</v>
      </c>
      <c r="O6">
        <v>4</v>
      </c>
      <c r="P6">
        <v>4</v>
      </c>
      <c r="Q6">
        <v>3</v>
      </c>
      <c r="R6" s="51">
        <v>53</v>
      </c>
      <c r="S6" s="51"/>
    </row>
    <row r="7" spans="1:20" x14ac:dyDescent="0.2">
      <c r="A7">
        <v>2024</v>
      </c>
      <c r="B7" s="49" t="s">
        <v>30</v>
      </c>
      <c r="C7" s="49" t="s">
        <v>100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3</v>
      </c>
      <c r="O7">
        <v>4</v>
      </c>
      <c r="P7">
        <v>4</v>
      </c>
      <c r="Q7">
        <v>4</v>
      </c>
      <c r="R7" s="51">
        <v>55</v>
      </c>
      <c r="S7" s="51"/>
    </row>
    <row r="8" spans="1:20" x14ac:dyDescent="0.2">
      <c r="A8">
        <v>2024</v>
      </c>
      <c r="B8" s="49" t="s">
        <v>34</v>
      </c>
      <c r="C8" s="49" t="s">
        <v>100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3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 s="51">
        <v>55</v>
      </c>
      <c r="S8" s="51"/>
    </row>
    <row r="9" spans="1:20" x14ac:dyDescent="0.2">
      <c r="A9">
        <v>2024</v>
      </c>
      <c r="B9" s="49" t="s">
        <v>36</v>
      </c>
      <c r="C9" s="49" t="s">
        <v>100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 s="51">
        <v>56</v>
      </c>
      <c r="S9" s="51" t="s">
        <v>189</v>
      </c>
    </row>
    <row r="10" spans="1:20" x14ac:dyDescent="0.2">
      <c r="A10">
        <v>2024</v>
      </c>
      <c r="B10" s="49" t="s">
        <v>37</v>
      </c>
      <c r="C10" s="49" t="s">
        <v>100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3</v>
      </c>
      <c r="R10" s="51">
        <v>55</v>
      </c>
      <c r="S10" s="51"/>
    </row>
    <row r="11" spans="1:20" x14ac:dyDescent="0.2">
      <c r="A11">
        <v>2024</v>
      </c>
      <c r="B11" s="49" t="s">
        <v>38</v>
      </c>
      <c r="C11" s="49" t="s">
        <v>100</v>
      </c>
      <c r="D11">
        <v>4</v>
      </c>
      <c r="E11">
        <v>4</v>
      </c>
      <c r="F11">
        <v>4</v>
      </c>
      <c r="G11">
        <v>3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 s="51">
        <v>55</v>
      </c>
    </row>
    <row r="12" spans="1:20" x14ac:dyDescent="0.2">
      <c r="A12">
        <v>2024</v>
      </c>
      <c r="B12" s="49" t="s">
        <v>39</v>
      </c>
      <c r="C12" s="49" t="s">
        <v>190</v>
      </c>
      <c r="D12" s="51">
        <v>4</v>
      </c>
      <c r="E12" s="51">
        <v>4</v>
      </c>
      <c r="F12" s="51">
        <v>4</v>
      </c>
      <c r="G12" s="51">
        <v>4</v>
      </c>
      <c r="H12" s="51">
        <v>4</v>
      </c>
      <c r="I12" s="51">
        <v>3</v>
      </c>
      <c r="J12" s="51">
        <v>3</v>
      </c>
      <c r="K12" s="51">
        <v>4</v>
      </c>
      <c r="L12" s="51">
        <v>4</v>
      </c>
      <c r="M12" s="51">
        <v>4</v>
      </c>
      <c r="N12" s="51">
        <v>4</v>
      </c>
      <c r="O12" s="51">
        <v>4</v>
      </c>
      <c r="P12" s="51">
        <v>4</v>
      </c>
      <c r="Q12" s="51">
        <v>4</v>
      </c>
      <c r="R12" s="51">
        <v>54</v>
      </c>
    </row>
    <row r="13" spans="1:20" x14ac:dyDescent="0.2">
      <c r="A13">
        <v>2024</v>
      </c>
      <c r="B13" s="49" t="s">
        <v>43</v>
      </c>
      <c r="C13" s="49" t="s">
        <v>100</v>
      </c>
      <c r="D13">
        <v>4</v>
      </c>
      <c r="E13" s="51">
        <v>4</v>
      </c>
      <c r="F13" s="51">
        <v>4</v>
      </c>
      <c r="G13" s="51">
        <v>3</v>
      </c>
      <c r="H13" s="51">
        <v>4</v>
      </c>
      <c r="I13" s="51">
        <v>4</v>
      </c>
      <c r="J13" s="51">
        <v>4</v>
      </c>
      <c r="K13" s="51">
        <v>4</v>
      </c>
      <c r="L13" s="51">
        <v>4</v>
      </c>
      <c r="M13" s="51">
        <v>4</v>
      </c>
      <c r="N13" s="51">
        <v>4</v>
      </c>
      <c r="O13" s="51">
        <v>4</v>
      </c>
      <c r="P13" s="51">
        <v>4</v>
      </c>
      <c r="Q13" s="51">
        <v>4</v>
      </c>
      <c r="R13" s="51">
        <v>55</v>
      </c>
    </row>
    <row r="14" spans="1:20" x14ac:dyDescent="0.2">
      <c r="A14">
        <v>2024</v>
      </c>
      <c r="B14" s="49" t="s">
        <v>44</v>
      </c>
      <c r="C14" s="49" t="s">
        <v>100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3</v>
      </c>
      <c r="Q14">
        <v>4</v>
      </c>
      <c r="R14" s="51">
        <v>55</v>
      </c>
    </row>
    <row r="15" spans="1:20" x14ac:dyDescent="0.2">
      <c r="A15">
        <v>2024</v>
      </c>
      <c r="B15" s="49" t="s">
        <v>45</v>
      </c>
      <c r="C15" s="49" t="s">
        <v>100</v>
      </c>
      <c r="D15">
        <v>4</v>
      </c>
      <c r="E15">
        <v>4</v>
      </c>
      <c r="F15">
        <v>4</v>
      </c>
      <c r="G15">
        <v>4</v>
      </c>
      <c r="H15">
        <v>4</v>
      </c>
      <c r="I15">
        <v>3</v>
      </c>
      <c r="J15">
        <v>4</v>
      </c>
      <c r="K15">
        <v>3</v>
      </c>
      <c r="L15">
        <v>4</v>
      </c>
      <c r="M15">
        <v>3</v>
      </c>
      <c r="N15">
        <v>4</v>
      </c>
      <c r="O15">
        <v>4</v>
      </c>
      <c r="P15">
        <v>4</v>
      </c>
      <c r="Q15">
        <v>4</v>
      </c>
      <c r="R15" s="51">
        <v>53</v>
      </c>
    </row>
    <row r="16" spans="1:20" x14ac:dyDescent="0.2">
      <c r="A16">
        <v>2024</v>
      </c>
      <c r="B16" s="43" t="s">
        <v>46</v>
      </c>
      <c r="C16" s="49" t="s">
        <v>100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3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 s="51">
        <v>55</v>
      </c>
    </row>
    <row r="17" spans="1:18" x14ac:dyDescent="0.2">
      <c r="A17">
        <v>2024</v>
      </c>
      <c r="B17" s="43" t="s">
        <v>47</v>
      </c>
      <c r="C17" s="49" t="s">
        <v>100</v>
      </c>
      <c r="D17">
        <v>4</v>
      </c>
      <c r="E17">
        <v>4</v>
      </c>
      <c r="F17">
        <v>4</v>
      </c>
      <c r="G17">
        <v>3</v>
      </c>
      <c r="H17">
        <v>4</v>
      </c>
      <c r="I17">
        <v>4</v>
      </c>
      <c r="J17">
        <v>3</v>
      </c>
      <c r="K17">
        <v>4</v>
      </c>
      <c r="L17">
        <v>4</v>
      </c>
      <c r="M17">
        <v>4</v>
      </c>
      <c r="N17">
        <v>4</v>
      </c>
      <c r="O17">
        <v>4</v>
      </c>
      <c r="P17">
        <v>3</v>
      </c>
      <c r="Q17">
        <v>1</v>
      </c>
      <c r="R17" s="51">
        <v>50</v>
      </c>
    </row>
    <row r="18" spans="1:18" x14ac:dyDescent="0.2">
      <c r="A18">
        <v>2024</v>
      </c>
      <c r="B18" s="49" t="s">
        <v>48</v>
      </c>
      <c r="C18" s="49" t="s">
        <v>100</v>
      </c>
      <c r="D18">
        <v>4</v>
      </c>
      <c r="E18">
        <v>4</v>
      </c>
      <c r="F18">
        <v>4</v>
      </c>
      <c r="G18" s="51">
        <v>3</v>
      </c>
      <c r="H18" s="51">
        <v>3</v>
      </c>
      <c r="I18" s="51">
        <v>4</v>
      </c>
      <c r="J18" s="51">
        <v>4</v>
      </c>
      <c r="K18" s="51">
        <v>3</v>
      </c>
      <c r="L18" s="51">
        <v>4</v>
      </c>
      <c r="M18" s="51">
        <v>4</v>
      </c>
      <c r="N18" s="51">
        <v>4</v>
      </c>
      <c r="O18" s="51">
        <v>4</v>
      </c>
      <c r="P18" s="51">
        <v>4</v>
      </c>
      <c r="Q18" s="51">
        <v>4</v>
      </c>
      <c r="R18" s="51">
        <v>53</v>
      </c>
    </row>
    <row r="19" spans="1:18" x14ac:dyDescent="0.2">
      <c r="A19">
        <v>2024</v>
      </c>
      <c r="B19" s="49" t="s">
        <v>49</v>
      </c>
      <c r="C19" s="49" t="s">
        <v>100</v>
      </c>
      <c r="D19">
        <v>4</v>
      </c>
      <c r="E19">
        <v>4</v>
      </c>
      <c r="F19">
        <v>4</v>
      </c>
      <c r="G19">
        <v>3</v>
      </c>
      <c r="H19">
        <v>3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 s="51">
        <v>54</v>
      </c>
    </row>
    <row r="20" spans="1:18" x14ac:dyDescent="0.2">
      <c r="A20">
        <v>2024</v>
      </c>
      <c r="B20" s="49" t="s">
        <v>50</v>
      </c>
      <c r="C20" s="49" t="s">
        <v>100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 s="51">
        <v>56</v>
      </c>
    </row>
    <row r="21" spans="1:18" x14ac:dyDescent="0.2">
      <c r="A21">
        <v>2024</v>
      </c>
      <c r="B21" s="49" t="s">
        <v>51</v>
      </c>
      <c r="C21" s="49" t="s">
        <v>100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 s="51">
        <v>56</v>
      </c>
    </row>
    <row r="22" spans="1:18" x14ac:dyDescent="0.2">
      <c r="A22">
        <v>2024</v>
      </c>
      <c r="B22" s="49" t="s">
        <v>53</v>
      </c>
      <c r="C22" s="49" t="s">
        <v>100</v>
      </c>
      <c r="D22">
        <v>4</v>
      </c>
      <c r="E22">
        <v>4</v>
      </c>
      <c r="F22">
        <v>4</v>
      </c>
      <c r="G22">
        <v>3</v>
      </c>
      <c r="H22">
        <v>3</v>
      </c>
      <c r="I22">
        <v>3</v>
      </c>
      <c r="J22">
        <v>3</v>
      </c>
      <c r="K22">
        <v>3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 s="51">
        <v>51</v>
      </c>
    </row>
    <row r="23" spans="1:18" x14ac:dyDescent="0.2">
      <c r="A23">
        <v>2024</v>
      </c>
      <c r="B23" s="49" t="s">
        <v>54</v>
      </c>
      <c r="C23" s="49" t="s">
        <v>100</v>
      </c>
      <c r="D23">
        <v>4</v>
      </c>
      <c r="E23">
        <v>4</v>
      </c>
      <c r="F23">
        <v>4</v>
      </c>
      <c r="G23">
        <v>3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 s="51">
        <v>55</v>
      </c>
    </row>
    <row r="24" spans="1:18" x14ac:dyDescent="0.2">
      <c r="A24">
        <v>2024</v>
      </c>
      <c r="B24" s="49" t="s">
        <v>55</v>
      </c>
      <c r="C24" s="49" t="s">
        <v>100</v>
      </c>
      <c r="D24">
        <v>3</v>
      </c>
      <c r="E24">
        <v>4</v>
      </c>
      <c r="F24">
        <v>4</v>
      </c>
      <c r="G24">
        <v>3</v>
      </c>
      <c r="H24">
        <v>4</v>
      </c>
      <c r="I24">
        <v>4</v>
      </c>
      <c r="J24">
        <v>3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Q24">
        <v>4</v>
      </c>
      <c r="R24" s="51">
        <v>53</v>
      </c>
    </row>
    <row r="25" spans="1:18" x14ac:dyDescent="0.2">
      <c r="A25">
        <v>2024</v>
      </c>
      <c r="B25" s="49" t="s">
        <v>56</v>
      </c>
      <c r="C25" s="49" t="s">
        <v>100</v>
      </c>
      <c r="D25">
        <v>3</v>
      </c>
      <c r="E25">
        <v>3</v>
      </c>
      <c r="F25">
        <v>4</v>
      </c>
      <c r="G25">
        <v>3</v>
      </c>
      <c r="H25">
        <v>3</v>
      </c>
      <c r="I25">
        <v>3</v>
      </c>
      <c r="J25">
        <v>3</v>
      </c>
      <c r="K25">
        <v>3</v>
      </c>
      <c r="L25">
        <v>4</v>
      </c>
      <c r="M25">
        <v>3</v>
      </c>
      <c r="N25">
        <v>3</v>
      </c>
      <c r="O25">
        <v>4</v>
      </c>
      <c r="P25">
        <v>2</v>
      </c>
      <c r="Q25">
        <v>1</v>
      </c>
      <c r="R25" s="51">
        <v>42</v>
      </c>
    </row>
    <row r="26" spans="1:18" x14ac:dyDescent="0.2">
      <c r="A26">
        <v>2024</v>
      </c>
      <c r="B26" s="43" t="s">
        <v>57</v>
      </c>
      <c r="C26" s="49" t="s">
        <v>100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Q26">
        <v>2</v>
      </c>
      <c r="R26" s="51">
        <v>54</v>
      </c>
    </row>
    <row r="27" spans="1:18" x14ac:dyDescent="0.2">
      <c r="A27">
        <v>2024</v>
      </c>
      <c r="B27" s="43" t="s">
        <v>58</v>
      </c>
      <c r="C27" s="49" t="s">
        <v>100</v>
      </c>
      <c r="D27">
        <v>3</v>
      </c>
      <c r="E27">
        <v>4</v>
      </c>
      <c r="F27">
        <v>4</v>
      </c>
      <c r="G27">
        <v>3</v>
      </c>
      <c r="H27">
        <v>3</v>
      </c>
      <c r="I27">
        <v>4</v>
      </c>
      <c r="J27">
        <v>4</v>
      </c>
      <c r="K27">
        <v>4</v>
      </c>
      <c r="L27">
        <v>3</v>
      </c>
      <c r="M27">
        <v>3</v>
      </c>
      <c r="N27">
        <v>4</v>
      </c>
      <c r="O27">
        <v>4</v>
      </c>
      <c r="P27">
        <v>3</v>
      </c>
      <c r="Q27">
        <v>3</v>
      </c>
      <c r="R27" s="51">
        <v>49</v>
      </c>
    </row>
    <row r="28" spans="1:18" x14ac:dyDescent="0.2">
      <c r="A28">
        <v>2024</v>
      </c>
      <c r="B28" s="49" t="s">
        <v>59</v>
      </c>
      <c r="C28" s="49" t="s">
        <v>100</v>
      </c>
      <c r="D28">
        <v>4</v>
      </c>
      <c r="E28">
        <v>4</v>
      </c>
      <c r="F28">
        <v>4</v>
      </c>
      <c r="G28">
        <v>3</v>
      </c>
      <c r="H28">
        <v>4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 s="51">
        <v>55</v>
      </c>
    </row>
    <row r="29" spans="1:18" x14ac:dyDescent="0.2">
      <c r="A29">
        <v>2024</v>
      </c>
      <c r="B29" s="49" t="s">
        <v>60</v>
      </c>
      <c r="C29" s="49" t="s">
        <v>100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3</v>
      </c>
      <c r="L29">
        <v>4</v>
      </c>
      <c r="M29">
        <v>4</v>
      </c>
      <c r="N29">
        <v>4</v>
      </c>
      <c r="O29">
        <v>4</v>
      </c>
      <c r="P29">
        <v>3</v>
      </c>
      <c r="Q29">
        <v>2</v>
      </c>
      <c r="R29" s="51">
        <v>52</v>
      </c>
    </row>
    <row r="30" spans="1:18" x14ac:dyDescent="0.2">
      <c r="A30">
        <v>2024</v>
      </c>
      <c r="B30" s="43" t="s">
        <v>61</v>
      </c>
      <c r="C30" s="49" t="s">
        <v>100</v>
      </c>
      <c r="D30">
        <v>4</v>
      </c>
      <c r="E30">
        <v>3</v>
      </c>
      <c r="F30">
        <v>4</v>
      </c>
      <c r="G30">
        <v>3</v>
      </c>
      <c r="H30">
        <v>4</v>
      </c>
      <c r="I30">
        <v>3</v>
      </c>
      <c r="J30">
        <v>2</v>
      </c>
      <c r="K30">
        <v>3</v>
      </c>
      <c r="L30">
        <v>4</v>
      </c>
      <c r="M30">
        <v>1</v>
      </c>
      <c r="N30">
        <v>2</v>
      </c>
      <c r="O30">
        <v>3</v>
      </c>
      <c r="P30">
        <v>3</v>
      </c>
      <c r="Q30">
        <v>2</v>
      </c>
      <c r="R30" s="51">
        <v>41</v>
      </c>
    </row>
    <row r="31" spans="1:18" x14ac:dyDescent="0.2">
      <c r="A31">
        <v>2024</v>
      </c>
      <c r="B31" s="49" t="s">
        <v>62</v>
      </c>
      <c r="C31" s="49" t="s">
        <v>100</v>
      </c>
      <c r="D31">
        <v>3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 s="51">
        <v>55</v>
      </c>
    </row>
    <row r="32" spans="1:18" x14ac:dyDescent="0.2">
      <c r="A32">
        <v>2024</v>
      </c>
      <c r="B32" s="49" t="s">
        <v>64</v>
      </c>
      <c r="C32" s="49" t="s">
        <v>100</v>
      </c>
      <c r="D32">
        <v>4</v>
      </c>
      <c r="E32">
        <v>4</v>
      </c>
      <c r="F32">
        <v>4</v>
      </c>
      <c r="G32">
        <v>3</v>
      </c>
      <c r="H32">
        <v>4</v>
      </c>
      <c r="I32">
        <v>3</v>
      </c>
      <c r="J32">
        <v>4</v>
      </c>
      <c r="K32">
        <v>4</v>
      </c>
      <c r="L32">
        <v>4</v>
      </c>
      <c r="M32">
        <v>4</v>
      </c>
      <c r="N32">
        <v>4</v>
      </c>
      <c r="O32">
        <v>4</v>
      </c>
      <c r="P32">
        <v>4</v>
      </c>
      <c r="Q32">
        <v>2</v>
      </c>
      <c r="R32" s="51">
        <v>52</v>
      </c>
    </row>
    <row r="33" spans="1:19" x14ac:dyDescent="0.2">
      <c r="A33">
        <v>2024</v>
      </c>
      <c r="B33" s="43" t="s">
        <v>66</v>
      </c>
      <c r="C33" s="49" t="s">
        <v>100</v>
      </c>
      <c r="D33">
        <v>4</v>
      </c>
      <c r="E33">
        <v>4</v>
      </c>
      <c r="F33">
        <v>4</v>
      </c>
      <c r="G33">
        <v>3</v>
      </c>
      <c r="H33">
        <v>4</v>
      </c>
      <c r="I33">
        <v>3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 s="51">
        <v>54</v>
      </c>
    </row>
    <row r="34" spans="1:19" x14ac:dyDescent="0.2">
      <c r="A34">
        <v>2024</v>
      </c>
      <c r="B34" s="49" t="s">
        <v>67</v>
      </c>
      <c r="C34" s="49" t="s">
        <v>100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 s="51">
        <v>56</v>
      </c>
    </row>
    <row r="35" spans="1:19" x14ac:dyDescent="0.2">
      <c r="A35">
        <v>2024</v>
      </c>
      <c r="B35" s="49" t="s">
        <v>68</v>
      </c>
      <c r="C35" s="49" t="s">
        <v>100</v>
      </c>
      <c r="D35">
        <v>3</v>
      </c>
      <c r="E35">
        <v>4</v>
      </c>
      <c r="F35">
        <v>4</v>
      </c>
      <c r="G35">
        <v>4</v>
      </c>
      <c r="H35">
        <v>4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 s="51">
        <v>55</v>
      </c>
    </row>
    <row r="36" spans="1:19" x14ac:dyDescent="0.2">
      <c r="A36">
        <v>2024</v>
      </c>
      <c r="B36" s="49" t="s">
        <v>69</v>
      </c>
      <c r="C36" s="49" t="s">
        <v>100</v>
      </c>
      <c r="D36">
        <v>4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3</v>
      </c>
      <c r="L36">
        <v>4</v>
      </c>
      <c r="M36">
        <v>4</v>
      </c>
      <c r="N36">
        <v>4</v>
      </c>
      <c r="O36">
        <v>4</v>
      </c>
      <c r="P36">
        <v>4</v>
      </c>
      <c r="Q36">
        <v>4</v>
      </c>
      <c r="R36" s="51">
        <v>55</v>
      </c>
    </row>
    <row r="37" spans="1:19" x14ac:dyDescent="0.2">
      <c r="A37">
        <v>2024</v>
      </c>
      <c r="B37" s="49" t="s">
        <v>70</v>
      </c>
      <c r="C37" s="49" t="s">
        <v>100</v>
      </c>
      <c r="D37">
        <v>4</v>
      </c>
      <c r="E37">
        <v>4</v>
      </c>
      <c r="F37">
        <v>4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3</v>
      </c>
      <c r="Q37">
        <v>3</v>
      </c>
      <c r="R37" s="51">
        <v>54</v>
      </c>
    </row>
    <row r="38" spans="1:19" x14ac:dyDescent="0.2">
      <c r="A38">
        <v>2024</v>
      </c>
      <c r="B38" s="49" t="s">
        <v>72</v>
      </c>
      <c r="C38" s="49" t="s">
        <v>100</v>
      </c>
      <c r="D38">
        <v>4</v>
      </c>
      <c r="E38">
        <v>4</v>
      </c>
      <c r="F38">
        <v>4</v>
      </c>
      <c r="G38">
        <v>4</v>
      </c>
      <c r="H38">
        <v>4</v>
      </c>
      <c r="I38">
        <v>3</v>
      </c>
      <c r="J38">
        <v>3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3</v>
      </c>
      <c r="R38" s="51">
        <v>53</v>
      </c>
    </row>
    <row r="39" spans="1:19" x14ac:dyDescent="0.2">
      <c r="A39">
        <v>2024</v>
      </c>
      <c r="B39" s="43" t="s">
        <v>73</v>
      </c>
      <c r="C39" s="49" t="s">
        <v>100</v>
      </c>
      <c r="D39">
        <v>4</v>
      </c>
      <c r="E39">
        <v>4</v>
      </c>
      <c r="F39">
        <v>4</v>
      </c>
      <c r="G39">
        <v>4</v>
      </c>
      <c r="H39">
        <v>4</v>
      </c>
      <c r="I39">
        <v>4</v>
      </c>
      <c r="J39">
        <v>4</v>
      </c>
      <c r="K39">
        <v>3</v>
      </c>
      <c r="L39">
        <v>3</v>
      </c>
      <c r="M39">
        <v>3</v>
      </c>
      <c r="N39">
        <v>4</v>
      </c>
      <c r="O39">
        <v>4</v>
      </c>
      <c r="P39">
        <v>4</v>
      </c>
      <c r="Q39">
        <v>3</v>
      </c>
      <c r="R39" s="51">
        <v>52</v>
      </c>
    </row>
    <row r="40" spans="1:19" x14ac:dyDescent="0.2">
      <c r="A40">
        <v>2024</v>
      </c>
      <c r="B40" s="43" t="s">
        <v>74</v>
      </c>
      <c r="C40" s="49" t="s">
        <v>100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 s="51">
        <v>56</v>
      </c>
    </row>
    <row r="41" spans="1:19" x14ac:dyDescent="0.2">
      <c r="A41">
        <v>2024</v>
      </c>
      <c r="B41" s="49" t="s">
        <v>76</v>
      </c>
      <c r="C41" s="49" t="s">
        <v>100</v>
      </c>
      <c r="D41">
        <v>4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 s="51">
        <v>56</v>
      </c>
    </row>
    <row r="42" spans="1:19" x14ac:dyDescent="0.2">
      <c r="A42">
        <v>2024</v>
      </c>
      <c r="B42" s="49" t="s">
        <v>77</v>
      </c>
      <c r="C42" s="49" t="s">
        <v>100</v>
      </c>
      <c r="D42">
        <v>3</v>
      </c>
      <c r="E42">
        <v>4</v>
      </c>
      <c r="F42">
        <v>4</v>
      </c>
      <c r="G42">
        <v>4</v>
      </c>
      <c r="H42">
        <v>4</v>
      </c>
      <c r="I42">
        <v>3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3</v>
      </c>
      <c r="Q42">
        <v>3</v>
      </c>
      <c r="R42" s="51">
        <v>52</v>
      </c>
    </row>
    <row r="43" spans="1:19" x14ac:dyDescent="0.2">
      <c r="A43">
        <v>2024</v>
      </c>
      <c r="B43" s="43" t="s">
        <v>78</v>
      </c>
      <c r="C43" s="49" t="s">
        <v>100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 s="51">
        <v>56</v>
      </c>
    </row>
    <row r="44" spans="1:19" x14ac:dyDescent="0.2">
      <c r="A44">
        <v>2024</v>
      </c>
      <c r="B44" s="43" t="s">
        <v>79</v>
      </c>
      <c r="C44" s="49" t="s">
        <v>100</v>
      </c>
      <c r="D44">
        <v>4</v>
      </c>
      <c r="E44">
        <v>4</v>
      </c>
      <c r="F44">
        <v>4</v>
      </c>
      <c r="G44">
        <v>3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 s="51">
        <v>55</v>
      </c>
    </row>
    <row r="45" spans="1:19" x14ac:dyDescent="0.2">
      <c r="A45">
        <v>2024</v>
      </c>
      <c r="B45" s="43" t="s">
        <v>80</v>
      </c>
      <c r="C45" s="49" t="s">
        <v>100</v>
      </c>
      <c r="D45">
        <v>4</v>
      </c>
      <c r="E45">
        <v>4</v>
      </c>
      <c r="F45">
        <v>4</v>
      </c>
      <c r="G45">
        <v>3</v>
      </c>
      <c r="H45">
        <v>4</v>
      </c>
      <c r="I45">
        <v>4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  <c r="P45">
        <v>2</v>
      </c>
      <c r="Q45">
        <v>4</v>
      </c>
      <c r="R45" s="51">
        <v>53</v>
      </c>
    </row>
    <row r="46" spans="1:19" x14ac:dyDescent="0.2">
      <c r="A46">
        <v>2024</v>
      </c>
      <c r="B46" s="49" t="s">
        <v>20</v>
      </c>
      <c r="C46" s="49" t="s">
        <v>104</v>
      </c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3" t="s">
        <v>191</v>
      </c>
      <c r="S46" s="51"/>
    </row>
    <row r="47" spans="1:19" x14ac:dyDescent="0.2">
      <c r="A47">
        <v>2024</v>
      </c>
      <c r="B47" s="49" t="s">
        <v>23</v>
      </c>
      <c r="C47" s="49" t="s">
        <v>104</v>
      </c>
      <c r="D47" s="51">
        <v>4</v>
      </c>
      <c r="E47" s="51">
        <v>4</v>
      </c>
      <c r="F47" s="51">
        <v>4</v>
      </c>
      <c r="G47" s="51">
        <v>4</v>
      </c>
      <c r="H47" s="51">
        <v>4</v>
      </c>
      <c r="I47" s="51">
        <v>4</v>
      </c>
      <c r="J47" s="51">
        <v>3</v>
      </c>
      <c r="K47" s="51">
        <v>4</v>
      </c>
      <c r="L47" s="51">
        <v>4</v>
      </c>
      <c r="M47" s="51">
        <v>4</v>
      </c>
      <c r="N47" s="51">
        <v>4</v>
      </c>
      <c r="O47" s="51">
        <v>4</v>
      </c>
      <c r="P47" s="51">
        <v>2</v>
      </c>
      <c r="Q47" s="51">
        <v>2</v>
      </c>
      <c r="R47" s="51">
        <v>51</v>
      </c>
      <c r="S47" s="51"/>
    </row>
    <row r="48" spans="1:19" x14ac:dyDescent="0.2">
      <c r="A48">
        <v>2024</v>
      </c>
      <c r="B48" s="49" t="s">
        <v>26</v>
      </c>
      <c r="C48" s="49" t="s">
        <v>104</v>
      </c>
      <c r="D48" s="51">
        <v>4</v>
      </c>
      <c r="E48" s="51">
        <v>4</v>
      </c>
      <c r="F48" s="51">
        <v>4</v>
      </c>
      <c r="G48" s="51">
        <v>4</v>
      </c>
      <c r="H48" s="51">
        <v>4</v>
      </c>
      <c r="I48" s="51">
        <v>4</v>
      </c>
      <c r="J48" s="51">
        <v>4</v>
      </c>
      <c r="K48" s="51">
        <v>4</v>
      </c>
      <c r="L48" s="51">
        <v>4</v>
      </c>
      <c r="M48" s="51">
        <v>3</v>
      </c>
      <c r="N48" s="51">
        <v>4</v>
      </c>
      <c r="O48" s="51">
        <v>4</v>
      </c>
      <c r="P48" s="51">
        <v>4</v>
      </c>
      <c r="Q48" s="51">
        <v>4</v>
      </c>
      <c r="R48" s="51">
        <v>55</v>
      </c>
      <c r="S48" s="51"/>
    </row>
    <row r="49" spans="1:20" x14ac:dyDescent="0.2">
      <c r="A49">
        <v>2024</v>
      </c>
      <c r="B49" s="49" t="s">
        <v>27</v>
      </c>
      <c r="C49" s="49" t="s">
        <v>104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 s="51">
        <v>56</v>
      </c>
      <c r="S49" s="51"/>
    </row>
    <row r="50" spans="1:20" x14ac:dyDescent="0.2">
      <c r="A50">
        <v>2024</v>
      </c>
      <c r="B50" s="49" t="s">
        <v>29</v>
      </c>
      <c r="C50" s="43" t="s">
        <v>104</v>
      </c>
      <c r="R50" s="53" t="s">
        <v>191</v>
      </c>
      <c r="S50" s="51"/>
    </row>
    <row r="51" spans="1:20" x14ac:dyDescent="0.2">
      <c r="A51">
        <v>2024</v>
      </c>
      <c r="B51" s="49" t="s">
        <v>30</v>
      </c>
      <c r="C51" s="43" t="s">
        <v>104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  <c r="N51">
        <v>4</v>
      </c>
      <c r="O51">
        <v>4</v>
      </c>
      <c r="P51">
        <v>4</v>
      </c>
      <c r="Q51">
        <v>4</v>
      </c>
      <c r="R51" s="51">
        <v>56</v>
      </c>
      <c r="S51" s="51"/>
    </row>
    <row r="52" spans="1:20" x14ac:dyDescent="0.2">
      <c r="A52">
        <v>2024</v>
      </c>
      <c r="B52" s="49" t="s">
        <v>34</v>
      </c>
      <c r="C52" s="43" t="s">
        <v>104</v>
      </c>
      <c r="D52">
        <v>4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  <c r="P52">
        <v>4</v>
      </c>
      <c r="Q52">
        <v>4</v>
      </c>
      <c r="R52" s="51">
        <v>56</v>
      </c>
      <c r="S52" s="51"/>
    </row>
    <row r="53" spans="1:20" x14ac:dyDescent="0.2">
      <c r="A53">
        <v>2024</v>
      </c>
      <c r="B53" s="49" t="s">
        <v>36</v>
      </c>
      <c r="C53" s="43" t="s">
        <v>104</v>
      </c>
      <c r="D53">
        <v>4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 s="51">
        <v>56</v>
      </c>
      <c r="S53" s="51"/>
      <c r="T53" t="s">
        <v>192</v>
      </c>
    </row>
    <row r="54" spans="1:20" x14ac:dyDescent="0.2">
      <c r="A54">
        <v>2024</v>
      </c>
      <c r="B54" s="49" t="s">
        <v>37</v>
      </c>
      <c r="C54" s="43" t="s">
        <v>104</v>
      </c>
      <c r="D54">
        <v>4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 s="51">
        <v>56</v>
      </c>
    </row>
    <row r="55" spans="1:20" x14ac:dyDescent="0.2">
      <c r="A55">
        <v>2024</v>
      </c>
      <c r="B55" s="49" t="s">
        <v>38</v>
      </c>
      <c r="C55" s="43" t="s">
        <v>104</v>
      </c>
      <c r="D55">
        <v>4</v>
      </c>
      <c r="E55">
        <v>4</v>
      </c>
      <c r="F55">
        <v>4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 s="51">
        <v>56</v>
      </c>
    </row>
    <row r="56" spans="1:20" x14ac:dyDescent="0.2">
      <c r="A56">
        <v>2024</v>
      </c>
      <c r="B56" s="49" t="s">
        <v>39</v>
      </c>
      <c r="C56" s="49" t="s">
        <v>104</v>
      </c>
      <c r="D56" s="51">
        <v>4</v>
      </c>
      <c r="E56" s="51">
        <v>4</v>
      </c>
      <c r="F56" s="51">
        <v>4</v>
      </c>
      <c r="G56" s="51">
        <v>4</v>
      </c>
      <c r="H56" s="51">
        <v>4</v>
      </c>
      <c r="I56" s="51">
        <v>4</v>
      </c>
      <c r="J56" s="51">
        <v>4</v>
      </c>
      <c r="K56" s="51">
        <v>4</v>
      </c>
      <c r="L56" s="51">
        <v>4</v>
      </c>
      <c r="M56" s="51">
        <v>4</v>
      </c>
      <c r="N56" s="51">
        <v>4</v>
      </c>
      <c r="O56" s="51">
        <v>4</v>
      </c>
      <c r="P56" s="51">
        <v>4</v>
      </c>
      <c r="Q56" s="51">
        <v>4</v>
      </c>
      <c r="R56" s="51">
        <v>56</v>
      </c>
    </row>
    <row r="57" spans="1:20" x14ac:dyDescent="0.2">
      <c r="A57">
        <v>2024</v>
      </c>
      <c r="B57" s="49" t="s">
        <v>43</v>
      </c>
      <c r="C57" s="49" t="s">
        <v>104</v>
      </c>
      <c r="D57">
        <v>4</v>
      </c>
      <c r="E57">
        <v>4</v>
      </c>
      <c r="F57">
        <v>4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4</v>
      </c>
      <c r="N57">
        <v>4</v>
      </c>
      <c r="O57">
        <v>4</v>
      </c>
      <c r="P57">
        <v>4</v>
      </c>
      <c r="Q57">
        <v>4</v>
      </c>
      <c r="R57" s="51">
        <v>56</v>
      </c>
    </row>
    <row r="58" spans="1:20" x14ac:dyDescent="0.2">
      <c r="A58">
        <v>2024</v>
      </c>
      <c r="B58" s="49" t="s">
        <v>44</v>
      </c>
      <c r="C58" s="43" t="s">
        <v>104</v>
      </c>
      <c r="D58">
        <v>4</v>
      </c>
      <c r="E58">
        <v>4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 s="51">
        <v>56</v>
      </c>
    </row>
    <row r="59" spans="1:20" x14ac:dyDescent="0.2">
      <c r="A59">
        <v>2024</v>
      </c>
      <c r="B59" s="49" t="s">
        <v>45</v>
      </c>
      <c r="C59" s="43" t="s">
        <v>104</v>
      </c>
      <c r="D59">
        <v>4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4</v>
      </c>
      <c r="Q59">
        <v>4</v>
      </c>
      <c r="R59" s="51">
        <v>56</v>
      </c>
    </row>
    <row r="60" spans="1:20" x14ac:dyDescent="0.2">
      <c r="A60">
        <v>2024</v>
      </c>
      <c r="B60" s="49" t="s">
        <v>46</v>
      </c>
      <c r="C60" s="43" t="s">
        <v>104</v>
      </c>
      <c r="D60">
        <v>4</v>
      </c>
      <c r="E60">
        <v>4</v>
      </c>
      <c r="F60">
        <v>4</v>
      </c>
      <c r="G60">
        <v>4</v>
      </c>
      <c r="H60">
        <v>4</v>
      </c>
      <c r="I60">
        <v>4</v>
      </c>
      <c r="J60">
        <v>4</v>
      </c>
      <c r="K60">
        <v>4</v>
      </c>
      <c r="L60">
        <v>4</v>
      </c>
      <c r="M60">
        <v>4</v>
      </c>
      <c r="N60">
        <v>4</v>
      </c>
      <c r="O60">
        <v>4</v>
      </c>
      <c r="P60">
        <v>4</v>
      </c>
      <c r="Q60">
        <v>4</v>
      </c>
      <c r="R60" s="51">
        <v>56</v>
      </c>
    </row>
    <row r="61" spans="1:20" x14ac:dyDescent="0.2">
      <c r="A61">
        <v>2024</v>
      </c>
      <c r="B61" s="43" t="s">
        <v>47</v>
      </c>
      <c r="C61" s="43" t="s">
        <v>104</v>
      </c>
      <c r="D61">
        <v>4</v>
      </c>
      <c r="E61">
        <v>4</v>
      </c>
      <c r="F61">
        <v>4</v>
      </c>
      <c r="G61">
        <v>4</v>
      </c>
      <c r="H61">
        <v>4</v>
      </c>
      <c r="I61">
        <v>4</v>
      </c>
      <c r="J61">
        <v>4</v>
      </c>
      <c r="K61">
        <v>4</v>
      </c>
      <c r="L61">
        <v>4</v>
      </c>
      <c r="M61">
        <v>4</v>
      </c>
      <c r="N61">
        <v>4</v>
      </c>
      <c r="O61">
        <v>4</v>
      </c>
      <c r="P61">
        <v>4</v>
      </c>
      <c r="Q61">
        <v>3</v>
      </c>
      <c r="R61" s="51">
        <v>55</v>
      </c>
    </row>
    <row r="62" spans="1:20" x14ac:dyDescent="0.2">
      <c r="A62">
        <v>2024</v>
      </c>
      <c r="B62" s="49" t="s">
        <v>48</v>
      </c>
      <c r="C62" s="49" t="s">
        <v>104</v>
      </c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3" t="s">
        <v>191</v>
      </c>
    </row>
    <row r="63" spans="1:20" x14ac:dyDescent="0.2">
      <c r="A63">
        <v>2024</v>
      </c>
      <c r="B63" s="49" t="s">
        <v>49</v>
      </c>
      <c r="C63" s="43" t="s">
        <v>104</v>
      </c>
      <c r="D63">
        <v>4</v>
      </c>
      <c r="E63">
        <v>4</v>
      </c>
      <c r="F63">
        <v>4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 s="51">
        <v>56</v>
      </c>
    </row>
    <row r="64" spans="1:20" x14ac:dyDescent="0.2">
      <c r="A64">
        <v>2024</v>
      </c>
      <c r="B64" s="49" t="s">
        <v>50</v>
      </c>
      <c r="C64" s="43" t="s">
        <v>104</v>
      </c>
      <c r="R64" s="53" t="s">
        <v>191</v>
      </c>
    </row>
    <row r="65" spans="1:18" x14ac:dyDescent="0.2">
      <c r="A65">
        <v>2024</v>
      </c>
      <c r="B65" s="54" t="s">
        <v>51</v>
      </c>
      <c r="C65" s="54" t="s">
        <v>104</v>
      </c>
      <c r="D65" s="55">
        <v>4</v>
      </c>
      <c r="E65" s="55">
        <v>4</v>
      </c>
      <c r="F65" s="55">
        <v>4</v>
      </c>
      <c r="G65" s="55">
        <v>4</v>
      </c>
      <c r="H65" s="55">
        <v>4</v>
      </c>
      <c r="I65" s="55">
        <v>4</v>
      </c>
      <c r="J65" s="55">
        <v>4</v>
      </c>
      <c r="K65" s="55">
        <v>4</v>
      </c>
      <c r="L65" s="55">
        <v>4</v>
      </c>
      <c r="M65" s="55">
        <v>4</v>
      </c>
      <c r="N65" s="55">
        <v>4</v>
      </c>
      <c r="O65" s="55">
        <v>4</v>
      </c>
      <c r="P65" s="55">
        <v>4</v>
      </c>
      <c r="Q65" s="55">
        <v>4</v>
      </c>
      <c r="R65" s="55">
        <v>56</v>
      </c>
    </row>
    <row r="66" spans="1:18" x14ac:dyDescent="0.2">
      <c r="A66">
        <v>2024</v>
      </c>
      <c r="B66" s="49" t="s">
        <v>53</v>
      </c>
      <c r="C66" s="43" t="s">
        <v>104</v>
      </c>
      <c r="D66">
        <v>4</v>
      </c>
      <c r="E66">
        <v>4</v>
      </c>
      <c r="F66">
        <v>4</v>
      </c>
      <c r="G66">
        <v>4</v>
      </c>
      <c r="H66">
        <v>4</v>
      </c>
      <c r="I66">
        <v>4</v>
      </c>
      <c r="J66">
        <v>4</v>
      </c>
      <c r="K66">
        <v>4</v>
      </c>
      <c r="L66">
        <v>4</v>
      </c>
      <c r="M66">
        <v>4</v>
      </c>
      <c r="N66">
        <v>4</v>
      </c>
      <c r="O66">
        <v>4</v>
      </c>
      <c r="P66">
        <v>4</v>
      </c>
      <c r="Q66">
        <v>4</v>
      </c>
      <c r="R66" s="51">
        <v>56</v>
      </c>
    </row>
    <row r="67" spans="1:18" x14ac:dyDescent="0.2">
      <c r="A67">
        <v>2024</v>
      </c>
      <c r="B67" s="49" t="s">
        <v>54</v>
      </c>
      <c r="C67" s="43" t="s">
        <v>104</v>
      </c>
      <c r="R67" s="53" t="s">
        <v>191</v>
      </c>
    </row>
    <row r="68" spans="1:18" x14ac:dyDescent="0.2">
      <c r="A68">
        <v>2024</v>
      </c>
      <c r="B68" s="49" t="s">
        <v>55</v>
      </c>
      <c r="C68" s="43" t="s">
        <v>104</v>
      </c>
      <c r="D68">
        <v>4</v>
      </c>
      <c r="E68">
        <v>4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4</v>
      </c>
      <c r="Q68">
        <v>4</v>
      </c>
      <c r="R68" s="51">
        <v>56</v>
      </c>
    </row>
    <row r="69" spans="1:18" x14ac:dyDescent="0.2">
      <c r="A69">
        <v>2024</v>
      </c>
      <c r="B69" s="49" t="s">
        <v>56</v>
      </c>
      <c r="C69" s="43" t="s">
        <v>104</v>
      </c>
      <c r="D69">
        <v>4</v>
      </c>
      <c r="E69">
        <v>4</v>
      </c>
      <c r="F69">
        <v>4</v>
      </c>
      <c r="G69">
        <v>4</v>
      </c>
      <c r="H69">
        <v>4</v>
      </c>
      <c r="I69">
        <v>4</v>
      </c>
      <c r="J69">
        <v>4</v>
      </c>
      <c r="K69">
        <v>3</v>
      </c>
      <c r="L69">
        <v>4</v>
      </c>
      <c r="M69">
        <v>4</v>
      </c>
      <c r="N69">
        <v>3</v>
      </c>
      <c r="O69">
        <v>4</v>
      </c>
      <c r="P69">
        <v>2</v>
      </c>
      <c r="Q69">
        <v>1</v>
      </c>
      <c r="R69" s="51">
        <v>49</v>
      </c>
    </row>
    <row r="70" spans="1:18" x14ac:dyDescent="0.2">
      <c r="A70">
        <v>2024</v>
      </c>
      <c r="B70" s="43" t="s">
        <v>57</v>
      </c>
      <c r="C70" s="43" t="s">
        <v>104</v>
      </c>
      <c r="D70">
        <v>4</v>
      </c>
      <c r="E70">
        <v>4</v>
      </c>
      <c r="F70">
        <v>4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 s="51">
        <v>56</v>
      </c>
    </row>
    <row r="71" spans="1:18" x14ac:dyDescent="0.2">
      <c r="A71">
        <v>2024</v>
      </c>
      <c r="B71" s="43" t="s">
        <v>58</v>
      </c>
      <c r="C71" s="43" t="s">
        <v>104</v>
      </c>
      <c r="D71">
        <v>4</v>
      </c>
      <c r="E71">
        <v>4</v>
      </c>
      <c r="F71">
        <v>4</v>
      </c>
      <c r="G71">
        <v>4</v>
      </c>
      <c r="H71">
        <v>4</v>
      </c>
      <c r="I71">
        <v>4</v>
      </c>
      <c r="J71">
        <v>4</v>
      </c>
      <c r="K71">
        <v>4</v>
      </c>
      <c r="L71">
        <v>4</v>
      </c>
      <c r="M71">
        <v>4</v>
      </c>
      <c r="N71">
        <v>4</v>
      </c>
      <c r="O71">
        <v>4</v>
      </c>
      <c r="P71">
        <v>3</v>
      </c>
      <c r="Q71">
        <v>4</v>
      </c>
      <c r="R71" s="51">
        <v>55</v>
      </c>
    </row>
    <row r="72" spans="1:18" x14ac:dyDescent="0.2">
      <c r="A72">
        <v>2024</v>
      </c>
      <c r="B72" s="49" t="s">
        <v>59</v>
      </c>
      <c r="C72" s="43" t="s">
        <v>104</v>
      </c>
      <c r="R72" s="53" t="s">
        <v>191</v>
      </c>
    </row>
    <row r="73" spans="1:18" x14ac:dyDescent="0.2">
      <c r="A73">
        <v>2024</v>
      </c>
      <c r="B73" s="49" t="s">
        <v>60</v>
      </c>
      <c r="C73" s="43" t="s">
        <v>104</v>
      </c>
      <c r="R73" s="51">
        <v>0</v>
      </c>
    </row>
    <row r="74" spans="1:18" x14ac:dyDescent="0.2">
      <c r="A74">
        <v>2024</v>
      </c>
      <c r="B74" s="49" t="s">
        <v>61</v>
      </c>
      <c r="C74" s="43" t="s">
        <v>104</v>
      </c>
      <c r="D74">
        <v>4</v>
      </c>
      <c r="E74">
        <v>4</v>
      </c>
      <c r="F74">
        <v>4</v>
      </c>
      <c r="G74">
        <v>4</v>
      </c>
      <c r="H74">
        <v>4</v>
      </c>
      <c r="I74">
        <v>4</v>
      </c>
      <c r="J74">
        <v>3</v>
      </c>
      <c r="K74">
        <v>4</v>
      </c>
      <c r="L74">
        <v>4</v>
      </c>
      <c r="M74">
        <v>4</v>
      </c>
      <c r="N74">
        <v>4</v>
      </c>
      <c r="O74">
        <v>4</v>
      </c>
      <c r="P74">
        <v>4</v>
      </c>
      <c r="Q74">
        <v>2</v>
      </c>
      <c r="R74" s="51">
        <v>53</v>
      </c>
    </row>
    <row r="75" spans="1:18" x14ac:dyDescent="0.2">
      <c r="A75">
        <v>2024</v>
      </c>
      <c r="B75" s="49" t="s">
        <v>62</v>
      </c>
      <c r="C75" s="43" t="s">
        <v>104</v>
      </c>
      <c r="D75">
        <v>4</v>
      </c>
      <c r="E75">
        <v>4</v>
      </c>
      <c r="F75">
        <v>4</v>
      </c>
      <c r="G75">
        <v>4</v>
      </c>
      <c r="H75">
        <v>4</v>
      </c>
      <c r="I75">
        <v>4</v>
      </c>
      <c r="J75">
        <v>4</v>
      </c>
      <c r="K75">
        <v>4</v>
      </c>
      <c r="L75">
        <v>4</v>
      </c>
      <c r="M75">
        <v>4</v>
      </c>
      <c r="N75">
        <v>4</v>
      </c>
      <c r="O75">
        <v>4</v>
      </c>
      <c r="P75">
        <v>4</v>
      </c>
      <c r="Q75">
        <v>4</v>
      </c>
      <c r="R75" s="51">
        <v>56</v>
      </c>
    </row>
    <row r="76" spans="1:18" x14ac:dyDescent="0.2">
      <c r="A76">
        <v>2024</v>
      </c>
      <c r="B76" s="49" t="s">
        <v>64</v>
      </c>
      <c r="C76" s="43" t="s">
        <v>104</v>
      </c>
      <c r="D76">
        <v>4</v>
      </c>
      <c r="E76">
        <v>4</v>
      </c>
      <c r="F76">
        <v>4</v>
      </c>
      <c r="G76">
        <v>4</v>
      </c>
      <c r="H76">
        <v>4</v>
      </c>
      <c r="I76">
        <v>4</v>
      </c>
      <c r="J76">
        <v>4</v>
      </c>
      <c r="K76">
        <v>4</v>
      </c>
      <c r="L76">
        <v>4</v>
      </c>
      <c r="M76">
        <v>4</v>
      </c>
      <c r="N76">
        <v>4</v>
      </c>
      <c r="O76">
        <v>4</v>
      </c>
      <c r="P76">
        <v>4</v>
      </c>
      <c r="Q76">
        <v>3</v>
      </c>
      <c r="R76" s="51">
        <v>55</v>
      </c>
    </row>
    <row r="77" spans="1:18" x14ac:dyDescent="0.2">
      <c r="A77">
        <v>2024</v>
      </c>
      <c r="B77" s="49" t="s">
        <v>66</v>
      </c>
      <c r="C77" s="43" t="s">
        <v>104</v>
      </c>
      <c r="R77" s="53" t="s">
        <v>191</v>
      </c>
    </row>
    <row r="78" spans="1:18" x14ac:dyDescent="0.2">
      <c r="A78">
        <v>2024</v>
      </c>
      <c r="B78" s="49" t="s">
        <v>67</v>
      </c>
      <c r="C78" s="43" t="s">
        <v>104</v>
      </c>
      <c r="D78">
        <v>4</v>
      </c>
      <c r="E78">
        <v>4</v>
      </c>
      <c r="F78">
        <v>4</v>
      </c>
      <c r="G78">
        <v>4</v>
      </c>
      <c r="H78">
        <v>4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3</v>
      </c>
      <c r="R78" s="51">
        <v>55</v>
      </c>
    </row>
    <row r="79" spans="1:18" x14ac:dyDescent="0.2">
      <c r="A79">
        <v>2024</v>
      </c>
      <c r="B79" s="49" t="s">
        <v>68</v>
      </c>
      <c r="C79" s="43" t="s">
        <v>104</v>
      </c>
      <c r="D79">
        <v>4</v>
      </c>
      <c r="E79">
        <v>4</v>
      </c>
      <c r="F79">
        <v>4</v>
      </c>
      <c r="G79">
        <v>4</v>
      </c>
      <c r="H79">
        <v>4</v>
      </c>
      <c r="I79">
        <v>4</v>
      </c>
      <c r="J79">
        <v>4</v>
      </c>
      <c r="K79">
        <v>4</v>
      </c>
      <c r="L79">
        <v>4</v>
      </c>
      <c r="M79">
        <v>4</v>
      </c>
      <c r="N79">
        <v>4</v>
      </c>
      <c r="O79">
        <v>4</v>
      </c>
      <c r="P79">
        <v>4</v>
      </c>
      <c r="Q79">
        <v>4</v>
      </c>
      <c r="R79" s="51">
        <v>56</v>
      </c>
    </row>
    <row r="80" spans="1:18" x14ac:dyDescent="0.2">
      <c r="A80">
        <v>2024</v>
      </c>
      <c r="B80" s="49" t="s">
        <v>69</v>
      </c>
      <c r="C80" s="43" t="s">
        <v>104</v>
      </c>
      <c r="R80" s="53" t="s">
        <v>191</v>
      </c>
    </row>
    <row r="81" spans="1:20" x14ac:dyDescent="0.2">
      <c r="A81">
        <v>2024</v>
      </c>
      <c r="B81" s="49" t="s">
        <v>70</v>
      </c>
      <c r="C81" s="43" t="s">
        <v>104</v>
      </c>
      <c r="D81">
        <v>4</v>
      </c>
      <c r="E81">
        <v>4</v>
      </c>
      <c r="F81">
        <v>4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  <c r="P81">
        <v>4</v>
      </c>
      <c r="Q81">
        <v>4</v>
      </c>
      <c r="R81" s="51">
        <v>56</v>
      </c>
    </row>
    <row r="82" spans="1:20" x14ac:dyDescent="0.2">
      <c r="A82">
        <v>2024</v>
      </c>
      <c r="B82" s="49" t="s">
        <v>72</v>
      </c>
      <c r="C82" s="43" t="s">
        <v>104</v>
      </c>
      <c r="D82">
        <v>4</v>
      </c>
      <c r="E82">
        <v>4</v>
      </c>
      <c r="F82">
        <v>4</v>
      </c>
      <c r="G82">
        <v>4</v>
      </c>
      <c r="H82">
        <v>4</v>
      </c>
      <c r="I82">
        <v>4</v>
      </c>
      <c r="J82">
        <v>4</v>
      </c>
      <c r="K82">
        <v>4</v>
      </c>
      <c r="L82">
        <v>4</v>
      </c>
      <c r="M82">
        <v>4</v>
      </c>
      <c r="N82">
        <v>4</v>
      </c>
      <c r="O82">
        <v>4</v>
      </c>
      <c r="P82">
        <v>4</v>
      </c>
      <c r="Q82">
        <v>4</v>
      </c>
      <c r="R82" s="51">
        <v>56</v>
      </c>
    </row>
    <row r="83" spans="1:20" x14ac:dyDescent="0.2">
      <c r="A83">
        <v>2024</v>
      </c>
      <c r="B83" s="49" t="s">
        <v>73</v>
      </c>
      <c r="C83" s="43" t="s">
        <v>104</v>
      </c>
      <c r="D83">
        <v>4</v>
      </c>
      <c r="E83">
        <v>4</v>
      </c>
      <c r="F83">
        <v>4</v>
      </c>
      <c r="G83">
        <v>4</v>
      </c>
      <c r="H83">
        <v>4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3</v>
      </c>
      <c r="R83" s="51">
        <v>55</v>
      </c>
    </row>
    <row r="84" spans="1:20" x14ac:dyDescent="0.2">
      <c r="A84">
        <v>2024</v>
      </c>
      <c r="B84" s="49" t="s">
        <v>74</v>
      </c>
      <c r="C84" s="43" t="s">
        <v>104</v>
      </c>
      <c r="R84" s="53" t="s">
        <v>191</v>
      </c>
    </row>
    <row r="85" spans="1:20" x14ac:dyDescent="0.2">
      <c r="A85">
        <v>2024</v>
      </c>
      <c r="B85" s="49" t="s">
        <v>76</v>
      </c>
      <c r="C85" s="43" t="s">
        <v>104</v>
      </c>
      <c r="D85">
        <v>4</v>
      </c>
      <c r="E85">
        <v>4</v>
      </c>
      <c r="F85">
        <v>4</v>
      </c>
      <c r="G85">
        <v>4</v>
      </c>
      <c r="H85">
        <v>4</v>
      </c>
      <c r="I85">
        <v>4</v>
      </c>
      <c r="J85">
        <v>4</v>
      </c>
      <c r="K85">
        <v>4</v>
      </c>
      <c r="L85">
        <v>4</v>
      </c>
      <c r="M85">
        <v>4</v>
      </c>
      <c r="N85">
        <v>4</v>
      </c>
      <c r="O85">
        <v>4</v>
      </c>
      <c r="P85">
        <v>4</v>
      </c>
      <c r="Q85">
        <v>4</v>
      </c>
      <c r="R85" s="51">
        <v>56</v>
      </c>
    </row>
    <row r="86" spans="1:20" x14ac:dyDescent="0.2">
      <c r="A86">
        <v>2024</v>
      </c>
      <c r="B86" s="49" t="s">
        <v>77</v>
      </c>
      <c r="C86" s="43" t="s">
        <v>104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  <c r="L86">
        <v>4</v>
      </c>
      <c r="M86">
        <v>4</v>
      </c>
      <c r="N86">
        <v>4</v>
      </c>
      <c r="O86">
        <v>4</v>
      </c>
      <c r="P86">
        <v>4</v>
      </c>
      <c r="Q86">
        <v>4</v>
      </c>
      <c r="R86" s="51">
        <v>56</v>
      </c>
    </row>
    <row r="87" spans="1:20" x14ac:dyDescent="0.2">
      <c r="A87">
        <v>2024</v>
      </c>
      <c r="B87" s="43" t="s">
        <v>78</v>
      </c>
      <c r="C87" s="43" t="s">
        <v>104</v>
      </c>
      <c r="D87">
        <v>4</v>
      </c>
      <c r="E87">
        <v>4</v>
      </c>
      <c r="F87">
        <v>4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  <c r="M87">
        <v>4</v>
      </c>
      <c r="N87">
        <v>4</v>
      </c>
      <c r="O87">
        <v>4</v>
      </c>
      <c r="P87">
        <v>4</v>
      </c>
      <c r="Q87">
        <v>4</v>
      </c>
      <c r="R87" s="51">
        <v>56</v>
      </c>
    </row>
    <row r="88" spans="1:20" x14ac:dyDescent="0.2">
      <c r="A88">
        <v>2024</v>
      </c>
      <c r="B88" s="43" t="s">
        <v>79</v>
      </c>
      <c r="C88" s="43" t="s">
        <v>104</v>
      </c>
      <c r="D88">
        <v>4</v>
      </c>
      <c r="E88">
        <v>4</v>
      </c>
      <c r="F88">
        <v>4</v>
      </c>
      <c r="G88">
        <v>4</v>
      </c>
      <c r="H88">
        <v>4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 s="51">
        <v>56</v>
      </c>
    </row>
    <row r="89" spans="1:20" x14ac:dyDescent="0.2">
      <c r="A89">
        <v>2024</v>
      </c>
      <c r="B89" s="43" t="s">
        <v>80</v>
      </c>
      <c r="C89" s="43" t="s">
        <v>104</v>
      </c>
      <c r="D89">
        <v>4</v>
      </c>
      <c r="E89">
        <v>4</v>
      </c>
      <c r="F89">
        <v>4</v>
      </c>
      <c r="G89">
        <v>4</v>
      </c>
      <c r="H89">
        <v>4</v>
      </c>
      <c r="I89">
        <v>4</v>
      </c>
      <c r="J89">
        <v>4</v>
      </c>
      <c r="K89">
        <v>4</v>
      </c>
      <c r="L89">
        <v>4</v>
      </c>
      <c r="M89">
        <v>4</v>
      </c>
      <c r="N89">
        <v>4</v>
      </c>
      <c r="O89">
        <v>4</v>
      </c>
      <c r="P89">
        <v>4</v>
      </c>
      <c r="Q89">
        <v>4</v>
      </c>
      <c r="R89" s="51">
        <v>56</v>
      </c>
    </row>
    <row r="91" spans="1:20" x14ac:dyDescent="0.2">
      <c r="A91">
        <v>2025</v>
      </c>
      <c r="B91" s="126" t="s">
        <v>498</v>
      </c>
      <c r="C91" s="126" t="s">
        <v>499</v>
      </c>
      <c r="D91" s="126" t="s">
        <v>172</v>
      </c>
      <c r="E91" s="126" t="s">
        <v>173</v>
      </c>
      <c r="F91" s="126" t="s">
        <v>174</v>
      </c>
      <c r="G91" s="126" t="s">
        <v>175</v>
      </c>
      <c r="H91" s="126" t="s">
        <v>176</v>
      </c>
      <c r="I91" s="126" t="s">
        <v>177</v>
      </c>
      <c r="J91" s="126" t="s">
        <v>178</v>
      </c>
      <c r="K91" s="126" t="s">
        <v>179</v>
      </c>
      <c r="L91" s="126" t="s">
        <v>180</v>
      </c>
      <c r="M91" s="126" t="s">
        <v>181</v>
      </c>
      <c r="N91" s="126" t="s">
        <v>182</v>
      </c>
      <c r="O91" s="126" t="s">
        <v>183</v>
      </c>
      <c r="P91" s="126" t="s">
        <v>184</v>
      </c>
      <c r="Q91" s="126" t="s">
        <v>185</v>
      </c>
      <c r="R91" s="126" t="s">
        <v>186</v>
      </c>
      <c r="S91" s="126" t="s">
        <v>187</v>
      </c>
      <c r="T91" s="126" t="s">
        <v>188</v>
      </c>
    </row>
    <row r="92" spans="1:20" x14ac:dyDescent="0.2">
      <c r="A92">
        <v>2025</v>
      </c>
      <c r="B92">
        <v>75</v>
      </c>
      <c r="C92" s="9" t="s">
        <v>100</v>
      </c>
      <c r="D92">
        <v>4</v>
      </c>
      <c r="E92">
        <v>4</v>
      </c>
      <c r="F92">
        <v>4</v>
      </c>
      <c r="G92">
        <v>4</v>
      </c>
      <c r="H92">
        <v>4</v>
      </c>
      <c r="I92">
        <v>4</v>
      </c>
      <c r="J92">
        <v>4</v>
      </c>
      <c r="K92">
        <v>4</v>
      </c>
      <c r="L92">
        <v>4</v>
      </c>
      <c r="M92">
        <v>4</v>
      </c>
      <c r="N92">
        <v>4</v>
      </c>
      <c r="O92">
        <v>4</v>
      </c>
      <c r="P92">
        <v>4</v>
      </c>
      <c r="Q92">
        <v>4</v>
      </c>
      <c r="R92">
        <f>D92+E92+F92+G92+H92+I92+J92+K92+L92+M92+N92+O92+P92+Q92</f>
        <v>56</v>
      </c>
    </row>
    <row r="93" spans="1:20" x14ac:dyDescent="0.2">
      <c r="A93">
        <v>2025</v>
      </c>
      <c r="B93">
        <v>75</v>
      </c>
      <c r="C93" s="9" t="s">
        <v>104</v>
      </c>
      <c r="D93">
        <v>3</v>
      </c>
      <c r="E93">
        <v>4</v>
      </c>
      <c r="F93">
        <v>4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f t="shared" ref="R93:R94" si="0">D93+E93+F93+G93+H93+I93+J93+K93+L93+M93+N93+O93+P93+Q93</f>
        <v>55</v>
      </c>
    </row>
    <row r="94" spans="1:20" x14ac:dyDescent="0.2">
      <c r="A94">
        <v>2025</v>
      </c>
      <c r="B94">
        <v>75</v>
      </c>
      <c r="C94" s="9" t="s">
        <v>500</v>
      </c>
      <c r="R94">
        <f t="shared" si="0"/>
        <v>0</v>
      </c>
    </row>
    <row r="95" spans="1:20" x14ac:dyDescent="0.2">
      <c r="A95">
        <v>2025</v>
      </c>
      <c r="B95">
        <v>96</v>
      </c>
      <c r="C95" s="9" t="s">
        <v>100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4</v>
      </c>
      <c r="K95">
        <v>3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f t="shared" ref="R95:R126" si="1">D95+E95+F95+G95+H95+I95+J95+K95+L95+M95+N95+O95+P95+Q95</f>
        <v>55</v>
      </c>
    </row>
    <row r="96" spans="1:20" x14ac:dyDescent="0.2">
      <c r="A96">
        <v>2025</v>
      </c>
      <c r="B96">
        <v>96</v>
      </c>
      <c r="C96" s="9" t="s">
        <v>104</v>
      </c>
      <c r="D96">
        <v>4</v>
      </c>
      <c r="E96">
        <v>4</v>
      </c>
      <c r="F96">
        <v>4</v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  <c r="M96">
        <v>4</v>
      </c>
      <c r="N96">
        <v>4</v>
      </c>
      <c r="O96">
        <v>4</v>
      </c>
      <c r="P96">
        <v>4</v>
      </c>
      <c r="Q96">
        <v>4</v>
      </c>
      <c r="R96">
        <f t="shared" si="1"/>
        <v>56</v>
      </c>
    </row>
    <row r="97" spans="1:20" x14ac:dyDescent="0.2">
      <c r="A97">
        <v>2025</v>
      </c>
      <c r="B97">
        <v>96</v>
      </c>
      <c r="C97" s="9" t="s">
        <v>500</v>
      </c>
      <c r="R97">
        <f t="shared" si="1"/>
        <v>0</v>
      </c>
    </row>
    <row r="98" spans="1:20" x14ac:dyDescent="0.2">
      <c r="A98">
        <v>2025</v>
      </c>
      <c r="B98">
        <v>73</v>
      </c>
      <c r="C98" s="9" t="s">
        <v>100</v>
      </c>
      <c r="D98">
        <v>4</v>
      </c>
      <c r="E98">
        <v>4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3</v>
      </c>
      <c r="Q98">
        <v>4</v>
      </c>
      <c r="R98">
        <f t="shared" si="1"/>
        <v>55</v>
      </c>
    </row>
    <row r="99" spans="1:20" x14ac:dyDescent="0.2">
      <c r="A99">
        <v>2025</v>
      </c>
      <c r="B99">
        <v>73</v>
      </c>
      <c r="C99" s="9" t="s">
        <v>104</v>
      </c>
      <c r="D99">
        <v>4</v>
      </c>
      <c r="E99">
        <v>4</v>
      </c>
      <c r="F99">
        <v>4</v>
      </c>
      <c r="G99">
        <v>4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  <c r="P99">
        <v>4</v>
      </c>
      <c r="Q99">
        <v>4</v>
      </c>
      <c r="R99">
        <f t="shared" si="1"/>
        <v>56</v>
      </c>
    </row>
    <row r="100" spans="1:20" x14ac:dyDescent="0.2">
      <c r="A100">
        <v>2025</v>
      </c>
      <c r="B100">
        <v>73</v>
      </c>
      <c r="C100" s="9" t="s">
        <v>500</v>
      </c>
      <c r="R100">
        <f t="shared" si="1"/>
        <v>0</v>
      </c>
    </row>
    <row r="101" spans="1:20" x14ac:dyDescent="0.2">
      <c r="A101">
        <v>2025</v>
      </c>
      <c r="B101">
        <v>72</v>
      </c>
      <c r="C101" s="9" t="s">
        <v>100</v>
      </c>
      <c r="D101">
        <v>4</v>
      </c>
      <c r="E101">
        <v>4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4</v>
      </c>
      <c r="R101">
        <f t="shared" si="1"/>
        <v>56</v>
      </c>
    </row>
    <row r="102" spans="1:20" x14ac:dyDescent="0.2">
      <c r="A102">
        <v>2025</v>
      </c>
      <c r="B102">
        <v>72</v>
      </c>
      <c r="C102" s="9" t="s">
        <v>104</v>
      </c>
      <c r="R102">
        <f t="shared" si="1"/>
        <v>0</v>
      </c>
    </row>
    <row r="103" spans="1:20" x14ac:dyDescent="0.2">
      <c r="A103">
        <v>2025</v>
      </c>
      <c r="B103">
        <v>72</v>
      </c>
      <c r="C103" s="9" t="s">
        <v>500</v>
      </c>
      <c r="R103">
        <f t="shared" si="1"/>
        <v>0</v>
      </c>
    </row>
    <row r="104" spans="1:20" x14ac:dyDescent="0.2">
      <c r="A104">
        <v>2025</v>
      </c>
      <c r="B104">
        <v>71</v>
      </c>
      <c r="C104" s="9" t="s">
        <v>100</v>
      </c>
      <c r="D104">
        <v>4</v>
      </c>
      <c r="E104">
        <v>4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4</v>
      </c>
      <c r="P104">
        <v>4</v>
      </c>
      <c r="Q104">
        <v>4</v>
      </c>
      <c r="R104">
        <f t="shared" si="1"/>
        <v>56</v>
      </c>
    </row>
    <row r="105" spans="1:20" x14ac:dyDescent="0.2">
      <c r="A105">
        <v>2025</v>
      </c>
      <c r="B105">
        <v>71</v>
      </c>
      <c r="C105" s="9" t="s">
        <v>104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4</v>
      </c>
      <c r="P105">
        <v>4</v>
      </c>
      <c r="Q105">
        <v>4</v>
      </c>
      <c r="R105">
        <f t="shared" si="1"/>
        <v>56</v>
      </c>
      <c r="T105" s="9" t="s">
        <v>192</v>
      </c>
    </row>
    <row r="106" spans="1:20" x14ac:dyDescent="0.2">
      <c r="A106">
        <v>2025</v>
      </c>
      <c r="B106">
        <v>71</v>
      </c>
      <c r="C106" s="9" t="s">
        <v>500</v>
      </c>
      <c r="R106">
        <f t="shared" si="1"/>
        <v>0</v>
      </c>
    </row>
    <row r="107" spans="1:20" x14ac:dyDescent="0.2">
      <c r="A107">
        <v>2025</v>
      </c>
      <c r="B107">
        <v>74</v>
      </c>
      <c r="C107" s="9" t="s">
        <v>100</v>
      </c>
      <c r="D107">
        <v>4</v>
      </c>
      <c r="E107">
        <v>4</v>
      </c>
      <c r="F107">
        <v>4</v>
      </c>
      <c r="G107">
        <v>4</v>
      </c>
      <c r="H107">
        <v>4</v>
      </c>
      <c r="I107">
        <v>4</v>
      </c>
      <c r="J107">
        <v>4</v>
      </c>
      <c r="K107">
        <v>4</v>
      </c>
      <c r="L107">
        <v>4</v>
      </c>
      <c r="M107">
        <v>4</v>
      </c>
      <c r="N107">
        <v>4</v>
      </c>
      <c r="O107">
        <v>4</v>
      </c>
      <c r="P107">
        <v>4</v>
      </c>
      <c r="Q107">
        <v>4</v>
      </c>
      <c r="R107">
        <f t="shared" si="1"/>
        <v>56</v>
      </c>
    </row>
    <row r="108" spans="1:20" x14ac:dyDescent="0.2">
      <c r="A108">
        <v>2025</v>
      </c>
      <c r="B108">
        <v>74</v>
      </c>
      <c r="C108" s="9" t="s">
        <v>104</v>
      </c>
      <c r="D108">
        <v>3</v>
      </c>
      <c r="E108">
        <v>4</v>
      </c>
      <c r="F108">
        <v>4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f t="shared" si="1"/>
        <v>55</v>
      </c>
    </row>
    <row r="109" spans="1:20" x14ac:dyDescent="0.2">
      <c r="A109">
        <v>2025</v>
      </c>
      <c r="B109">
        <v>74</v>
      </c>
      <c r="C109" s="9" t="s">
        <v>500</v>
      </c>
      <c r="R109">
        <f t="shared" si="1"/>
        <v>0</v>
      </c>
    </row>
    <row r="110" spans="1:20" x14ac:dyDescent="0.2">
      <c r="A110">
        <v>2025</v>
      </c>
      <c r="B110">
        <v>44</v>
      </c>
      <c r="C110" s="9" t="s">
        <v>100</v>
      </c>
      <c r="D110">
        <v>4</v>
      </c>
      <c r="E110">
        <v>3</v>
      </c>
      <c r="F110">
        <v>3</v>
      </c>
      <c r="G110">
        <v>3</v>
      </c>
      <c r="H110">
        <v>3</v>
      </c>
      <c r="I110">
        <v>4</v>
      </c>
      <c r="J110">
        <v>4</v>
      </c>
      <c r="K110">
        <v>3</v>
      </c>
      <c r="L110">
        <v>3</v>
      </c>
      <c r="M110">
        <v>4</v>
      </c>
      <c r="N110">
        <v>4</v>
      </c>
      <c r="O110">
        <v>4</v>
      </c>
      <c r="P110">
        <v>4</v>
      </c>
      <c r="Q110">
        <v>3</v>
      </c>
      <c r="R110">
        <f t="shared" si="1"/>
        <v>49</v>
      </c>
    </row>
    <row r="111" spans="1:20" x14ac:dyDescent="0.2">
      <c r="A111">
        <v>2025</v>
      </c>
      <c r="B111">
        <v>44</v>
      </c>
      <c r="C111" s="9" t="s">
        <v>104</v>
      </c>
      <c r="D111">
        <v>4</v>
      </c>
      <c r="E111">
        <v>4</v>
      </c>
      <c r="F111">
        <v>4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3</v>
      </c>
      <c r="N111">
        <v>4</v>
      </c>
      <c r="O111">
        <v>4</v>
      </c>
      <c r="P111">
        <v>4</v>
      </c>
      <c r="Q111">
        <v>4</v>
      </c>
      <c r="R111">
        <f t="shared" si="1"/>
        <v>55</v>
      </c>
    </row>
    <row r="112" spans="1:20" x14ac:dyDescent="0.2">
      <c r="A112">
        <v>2025</v>
      </c>
      <c r="B112">
        <v>44</v>
      </c>
      <c r="C112" s="9" t="s">
        <v>500</v>
      </c>
      <c r="R112">
        <f t="shared" si="1"/>
        <v>0</v>
      </c>
    </row>
    <row r="113" spans="1:20" x14ac:dyDescent="0.2">
      <c r="A113">
        <v>2025</v>
      </c>
      <c r="B113">
        <v>76</v>
      </c>
      <c r="C113" s="9" t="s">
        <v>100</v>
      </c>
      <c r="D113">
        <v>4</v>
      </c>
      <c r="E113">
        <v>4</v>
      </c>
      <c r="F113">
        <v>4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3</v>
      </c>
      <c r="N113">
        <v>4</v>
      </c>
      <c r="O113">
        <v>3</v>
      </c>
      <c r="P113">
        <v>2</v>
      </c>
      <c r="Q113">
        <v>2</v>
      </c>
      <c r="R113">
        <f t="shared" si="1"/>
        <v>50</v>
      </c>
    </row>
    <row r="114" spans="1:20" x14ac:dyDescent="0.2">
      <c r="A114">
        <v>2025</v>
      </c>
      <c r="B114">
        <v>76</v>
      </c>
      <c r="C114" s="9" t="s">
        <v>104</v>
      </c>
      <c r="D114">
        <v>3</v>
      </c>
      <c r="E114">
        <v>4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4</v>
      </c>
      <c r="M114">
        <v>3</v>
      </c>
      <c r="N114">
        <v>4</v>
      </c>
      <c r="O114">
        <v>4</v>
      </c>
      <c r="P114">
        <v>2</v>
      </c>
      <c r="Q114">
        <v>3</v>
      </c>
      <c r="R114">
        <f t="shared" si="1"/>
        <v>51</v>
      </c>
    </row>
    <row r="115" spans="1:20" x14ac:dyDescent="0.2">
      <c r="A115">
        <v>2025</v>
      </c>
      <c r="B115">
        <v>76</v>
      </c>
      <c r="C115" s="9" t="s">
        <v>500</v>
      </c>
      <c r="R115">
        <f t="shared" si="1"/>
        <v>0</v>
      </c>
    </row>
    <row r="116" spans="1:20" x14ac:dyDescent="0.2">
      <c r="A116">
        <v>2025</v>
      </c>
      <c r="B116">
        <v>46</v>
      </c>
      <c r="C116" s="9" t="s">
        <v>100</v>
      </c>
      <c r="D116">
        <v>4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3</v>
      </c>
      <c r="L116">
        <v>4</v>
      </c>
      <c r="M116">
        <v>3</v>
      </c>
      <c r="N116">
        <v>4</v>
      </c>
      <c r="O116">
        <v>4</v>
      </c>
      <c r="P116">
        <v>4</v>
      </c>
      <c r="Q116">
        <v>4</v>
      </c>
      <c r="R116">
        <f t="shared" si="1"/>
        <v>54</v>
      </c>
      <c r="T116" s="9"/>
    </row>
    <row r="117" spans="1:20" x14ac:dyDescent="0.2">
      <c r="A117">
        <v>2025</v>
      </c>
      <c r="B117">
        <v>46</v>
      </c>
      <c r="C117" s="9" t="s">
        <v>104</v>
      </c>
      <c r="D117">
        <v>4</v>
      </c>
      <c r="E117">
        <v>4</v>
      </c>
      <c r="F117">
        <v>4</v>
      </c>
      <c r="G117">
        <v>4</v>
      </c>
      <c r="H117">
        <v>4</v>
      </c>
      <c r="I117">
        <v>4</v>
      </c>
      <c r="J117">
        <v>4</v>
      </c>
      <c r="K117">
        <v>4</v>
      </c>
      <c r="L117">
        <v>4</v>
      </c>
      <c r="M117">
        <v>4</v>
      </c>
      <c r="N117">
        <v>4</v>
      </c>
      <c r="O117">
        <v>4</v>
      </c>
      <c r="P117">
        <v>4</v>
      </c>
      <c r="Q117">
        <v>4</v>
      </c>
      <c r="R117">
        <f t="shared" si="1"/>
        <v>56</v>
      </c>
    </row>
    <row r="118" spans="1:20" x14ac:dyDescent="0.2">
      <c r="A118">
        <v>2025</v>
      </c>
      <c r="B118">
        <v>46</v>
      </c>
      <c r="C118" s="9" t="s">
        <v>500</v>
      </c>
      <c r="R118">
        <f t="shared" si="1"/>
        <v>0</v>
      </c>
    </row>
    <row r="119" spans="1:20" x14ac:dyDescent="0.2">
      <c r="A119">
        <v>2025</v>
      </c>
      <c r="B119">
        <v>47</v>
      </c>
      <c r="C119" s="9" t="s">
        <v>100</v>
      </c>
      <c r="D119">
        <v>4</v>
      </c>
      <c r="E119">
        <v>4</v>
      </c>
      <c r="F119">
        <v>4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4</v>
      </c>
      <c r="M119">
        <v>4</v>
      </c>
      <c r="N119">
        <v>4</v>
      </c>
      <c r="O119">
        <v>4</v>
      </c>
      <c r="P119">
        <v>4</v>
      </c>
      <c r="Q119">
        <v>4</v>
      </c>
      <c r="R119">
        <f t="shared" si="1"/>
        <v>56</v>
      </c>
    </row>
    <row r="120" spans="1:20" x14ac:dyDescent="0.2">
      <c r="A120">
        <v>2025</v>
      </c>
      <c r="B120">
        <v>47</v>
      </c>
      <c r="C120" s="9" t="s">
        <v>104</v>
      </c>
      <c r="R120">
        <f t="shared" si="1"/>
        <v>0</v>
      </c>
    </row>
    <row r="121" spans="1:20" x14ac:dyDescent="0.2">
      <c r="A121">
        <v>2025</v>
      </c>
      <c r="B121">
        <v>47</v>
      </c>
      <c r="C121" s="9" t="s">
        <v>500</v>
      </c>
      <c r="R121">
        <f t="shared" si="1"/>
        <v>0</v>
      </c>
    </row>
    <row r="122" spans="1:20" x14ac:dyDescent="0.2">
      <c r="A122">
        <v>2025</v>
      </c>
      <c r="B122">
        <v>97</v>
      </c>
      <c r="C122" s="9" t="s">
        <v>100</v>
      </c>
      <c r="D122">
        <v>4</v>
      </c>
      <c r="E122">
        <v>4</v>
      </c>
      <c r="F122">
        <v>4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4</v>
      </c>
      <c r="O122">
        <v>4</v>
      </c>
      <c r="P122">
        <v>4</v>
      </c>
      <c r="Q122">
        <v>4</v>
      </c>
      <c r="R122">
        <f t="shared" si="1"/>
        <v>56</v>
      </c>
    </row>
    <row r="123" spans="1:20" x14ac:dyDescent="0.2">
      <c r="A123">
        <v>2025</v>
      </c>
      <c r="B123">
        <v>97</v>
      </c>
      <c r="C123" s="9" t="s">
        <v>104</v>
      </c>
      <c r="D123">
        <v>3</v>
      </c>
      <c r="E123">
        <v>4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f t="shared" si="1"/>
        <v>55</v>
      </c>
    </row>
    <row r="124" spans="1:20" x14ac:dyDescent="0.2">
      <c r="A124">
        <v>2025</v>
      </c>
      <c r="B124">
        <v>97</v>
      </c>
      <c r="C124" s="9" t="s">
        <v>500</v>
      </c>
      <c r="R124">
        <f t="shared" si="1"/>
        <v>0</v>
      </c>
    </row>
    <row r="125" spans="1:20" x14ac:dyDescent="0.2">
      <c r="A125">
        <v>2025</v>
      </c>
      <c r="B125">
        <v>27</v>
      </c>
      <c r="C125" s="9" t="s">
        <v>100</v>
      </c>
      <c r="D125">
        <v>4</v>
      </c>
      <c r="E125">
        <v>4</v>
      </c>
      <c r="F125">
        <v>4</v>
      </c>
      <c r="G125">
        <v>3</v>
      </c>
      <c r="H125">
        <v>4</v>
      </c>
      <c r="I125">
        <v>4</v>
      </c>
      <c r="J125">
        <v>4</v>
      </c>
      <c r="K125">
        <v>4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4</v>
      </c>
      <c r="R125">
        <f t="shared" si="1"/>
        <v>55</v>
      </c>
    </row>
    <row r="126" spans="1:20" x14ac:dyDescent="0.2">
      <c r="A126">
        <v>2025</v>
      </c>
      <c r="B126">
        <v>27</v>
      </c>
      <c r="C126" s="9" t="s">
        <v>104</v>
      </c>
      <c r="R126">
        <f t="shared" si="1"/>
        <v>0</v>
      </c>
    </row>
    <row r="127" spans="1:20" x14ac:dyDescent="0.2">
      <c r="A127">
        <v>2025</v>
      </c>
      <c r="B127">
        <v>27</v>
      </c>
      <c r="C127" s="9" t="s">
        <v>500</v>
      </c>
      <c r="R127">
        <f t="shared" ref="R127:R158" si="2">D127+E127+F127+G127+H127+I127+J127+K127+L127+M127+N127+O127+P127+Q127</f>
        <v>0</v>
      </c>
    </row>
    <row r="128" spans="1:20" x14ac:dyDescent="0.2">
      <c r="A128">
        <v>2025</v>
      </c>
      <c r="B128" s="152">
        <v>44</v>
      </c>
      <c r="C128" s="153" t="s">
        <v>100</v>
      </c>
      <c r="D128" s="152">
        <v>4</v>
      </c>
      <c r="E128" s="152">
        <v>4</v>
      </c>
      <c r="F128" s="152">
        <v>4</v>
      </c>
      <c r="G128" s="152">
        <v>4</v>
      </c>
      <c r="H128" s="152">
        <v>4</v>
      </c>
      <c r="I128" s="152">
        <v>4</v>
      </c>
      <c r="J128" s="152">
        <v>4</v>
      </c>
      <c r="K128" s="152">
        <v>4</v>
      </c>
      <c r="L128" s="152">
        <v>4</v>
      </c>
      <c r="M128" s="152">
        <v>4</v>
      </c>
      <c r="N128" s="152">
        <v>4</v>
      </c>
      <c r="O128" s="152">
        <v>4</v>
      </c>
      <c r="P128" s="152">
        <v>4</v>
      </c>
      <c r="Q128" s="152">
        <v>4</v>
      </c>
      <c r="R128" s="152">
        <f t="shared" si="2"/>
        <v>56</v>
      </c>
      <c r="S128" s="152" t="s">
        <v>565</v>
      </c>
    </row>
    <row r="129" spans="1:18" x14ac:dyDescent="0.2">
      <c r="A129">
        <v>2025</v>
      </c>
      <c r="B129" s="152">
        <v>44</v>
      </c>
      <c r="C129" s="153" t="s">
        <v>104</v>
      </c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>
        <f t="shared" si="2"/>
        <v>0</v>
      </c>
    </row>
    <row r="130" spans="1:18" x14ac:dyDescent="0.2">
      <c r="A130">
        <v>2025</v>
      </c>
      <c r="B130" s="152">
        <v>44</v>
      </c>
      <c r="C130" s="153" t="s">
        <v>500</v>
      </c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>
        <f t="shared" si="2"/>
        <v>0</v>
      </c>
    </row>
    <row r="131" spans="1:18" x14ac:dyDescent="0.2">
      <c r="A131">
        <v>2025</v>
      </c>
      <c r="B131">
        <v>78</v>
      </c>
      <c r="C131" s="9" t="s">
        <v>100</v>
      </c>
      <c r="D131">
        <v>4</v>
      </c>
      <c r="E131">
        <v>4</v>
      </c>
      <c r="F131">
        <v>4</v>
      </c>
      <c r="G131">
        <v>4</v>
      </c>
      <c r="H131">
        <v>4</v>
      </c>
      <c r="I131">
        <v>4</v>
      </c>
      <c r="J131">
        <v>4</v>
      </c>
      <c r="K131">
        <v>4</v>
      </c>
      <c r="L131">
        <v>4</v>
      </c>
      <c r="M131">
        <v>4</v>
      </c>
      <c r="N131">
        <v>4</v>
      </c>
      <c r="O131">
        <v>4</v>
      </c>
      <c r="P131">
        <v>4</v>
      </c>
      <c r="Q131">
        <v>4</v>
      </c>
      <c r="R131">
        <f t="shared" si="2"/>
        <v>56</v>
      </c>
    </row>
    <row r="132" spans="1:18" x14ac:dyDescent="0.2">
      <c r="A132">
        <v>2025</v>
      </c>
      <c r="B132">
        <v>78</v>
      </c>
      <c r="C132" s="9" t="s">
        <v>104</v>
      </c>
      <c r="D132">
        <v>4</v>
      </c>
      <c r="E132">
        <v>4</v>
      </c>
      <c r="F132">
        <v>4</v>
      </c>
      <c r="G132">
        <v>4</v>
      </c>
      <c r="H132">
        <v>4</v>
      </c>
      <c r="I132">
        <v>4</v>
      </c>
      <c r="J132">
        <v>4</v>
      </c>
      <c r="K132">
        <v>4</v>
      </c>
      <c r="L132">
        <v>4</v>
      </c>
      <c r="M132">
        <v>4</v>
      </c>
      <c r="N132">
        <v>4</v>
      </c>
      <c r="O132">
        <v>4</v>
      </c>
      <c r="P132">
        <v>4</v>
      </c>
      <c r="Q132">
        <v>4</v>
      </c>
      <c r="R132">
        <f t="shared" si="2"/>
        <v>56</v>
      </c>
    </row>
    <row r="133" spans="1:18" x14ac:dyDescent="0.2">
      <c r="A133">
        <v>2025</v>
      </c>
      <c r="B133">
        <v>78</v>
      </c>
      <c r="C133" s="9" t="s">
        <v>500</v>
      </c>
      <c r="R133">
        <f t="shared" si="2"/>
        <v>0</v>
      </c>
    </row>
    <row r="134" spans="1:18" x14ac:dyDescent="0.2">
      <c r="A134">
        <v>2025</v>
      </c>
      <c r="B134">
        <v>29</v>
      </c>
      <c r="C134" s="9" t="s">
        <v>100</v>
      </c>
      <c r="D134">
        <v>4</v>
      </c>
      <c r="E134">
        <v>4</v>
      </c>
      <c r="F134">
        <v>4</v>
      </c>
      <c r="G134">
        <v>4</v>
      </c>
      <c r="H134">
        <v>4</v>
      </c>
      <c r="I134">
        <v>4</v>
      </c>
      <c r="J134">
        <v>4</v>
      </c>
      <c r="K134">
        <v>4</v>
      </c>
      <c r="L134">
        <v>4</v>
      </c>
      <c r="M134">
        <v>2</v>
      </c>
      <c r="N134">
        <v>4</v>
      </c>
      <c r="O134">
        <v>4</v>
      </c>
      <c r="P134">
        <v>3</v>
      </c>
      <c r="Q134">
        <v>2</v>
      </c>
      <c r="R134">
        <f t="shared" si="2"/>
        <v>51</v>
      </c>
    </row>
    <row r="135" spans="1:18" x14ac:dyDescent="0.2">
      <c r="A135">
        <v>2025</v>
      </c>
      <c r="B135">
        <v>29</v>
      </c>
      <c r="C135" s="9" t="s">
        <v>104</v>
      </c>
      <c r="R135">
        <f t="shared" si="2"/>
        <v>0</v>
      </c>
    </row>
    <row r="136" spans="1:18" x14ac:dyDescent="0.2">
      <c r="A136">
        <v>2025</v>
      </c>
      <c r="B136">
        <v>29</v>
      </c>
      <c r="C136" s="9" t="s">
        <v>500</v>
      </c>
      <c r="R136">
        <f t="shared" si="2"/>
        <v>0</v>
      </c>
    </row>
    <row r="137" spans="1:18" x14ac:dyDescent="0.2">
      <c r="A137">
        <v>2025</v>
      </c>
      <c r="B137">
        <v>77</v>
      </c>
      <c r="C137" s="9" t="s">
        <v>100</v>
      </c>
      <c r="D137">
        <v>4</v>
      </c>
      <c r="E137">
        <v>4</v>
      </c>
      <c r="F137">
        <v>3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4</v>
      </c>
      <c r="M137">
        <v>4</v>
      </c>
      <c r="N137">
        <v>4</v>
      </c>
      <c r="O137">
        <v>4</v>
      </c>
      <c r="P137">
        <v>4</v>
      </c>
      <c r="Q137">
        <v>4</v>
      </c>
      <c r="R137">
        <f t="shared" si="2"/>
        <v>55</v>
      </c>
    </row>
    <row r="138" spans="1:18" x14ac:dyDescent="0.2">
      <c r="A138">
        <v>2025</v>
      </c>
      <c r="B138">
        <v>77</v>
      </c>
      <c r="C138" s="9" t="s">
        <v>104</v>
      </c>
      <c r="R138">
        <f t="shared" si="2"/>
        <v>0</v>
      </c>
    </row>
    <row r="139" spans="1:18" x14ac:dyDescent="0.2">
      <c r="A139">
        <v>2025</v>
      </c>
      <c r="B139">
        <v>77</v>
      </c>
      <c r="C139" s="9" t="s">
        <v>500</v>
      </c>
      <c r="R139">
        <f t="shared" si="2"/>
        <v>0</v>
      </c>
    </row>
    <row r="140" spans="1:18" x14ac:dyDescent="0.2">
      <c r="A140">
        <v>2025</v>
      </c>
      <c r="B140">
        <v>30</v>
      </c>
      <c r="C140" s="9" t="s">
        <v>100</v>
      </c>
      <c r="D140">
        <v>4</v>
      </c>
      <c r="E140">
        <v>4</v>
      </c>
      <c r="F140">
        <v>4</v>
      </c>
      <c r="G140">
        <v>4</v>
      </c>
      <c r="H140">
        <v>4</v>
      </c>
      <c r="I140">
        <v>4</v>
      </c>
      <c r="J140">
        <v>2</v>
      </c>
      <c r="K140">
        <v>4</v>
      </c>
      <c r="L140">
        <v>4</v>
      </c>
      <c r="M140">
        <v>4</v>
      </c>
      <c r="N140">
        <v>4</v>
      </c>
      <c r="O140">
        <v>4</v>
      </c>
      <c r="P140">
        <v>4</v>
      </c>
      <c r="Q140">
        <v>1</v>
      </c>
      <c r="R140">
        <f t="shared" si="2"/>
        <v>51</v>
      </c>
    </row>
    <row r="141" spans="1:18" x14ac:dyDescent="0.2">
      <c r="A141">
        <v>2025</v>
      </c>
      <c r="B141">
        <v>30</v>
      </c>
      <c r="C141" s="9" t="s">
        <v>104</v>
      </c>
      <c r="R141">
        <f t="shared" si="2"/>
        <v>0</v>
      </c>
    </row>
    <row r="142" spans="1:18" x14ac:dyDescent="0.2">
      <c r="A142">
        <v>2025</v>
      </c>
      <c r="B142">
        <v>30</v>
      </c>
      <c r="C142" s="9" t="s">
        <v>500</v>
      </c>
      <c r="R142">
        <f t="shared" si="2"/>
        <v>0</v>
      </c>
    </row>
    <row r="143" spans="1:18" x14ac:dyDescent="0.2">
      <c r="A143">
        <v>2025</v>
      </c>
      <c r="B143">
        <v>61</v>
      </c>
      <c r="C143" s="9" t="s">
        <v>100</v>
      </c>
      <c r="D143">
        <v>4</v>
      </c>
      <c r="E143">
        <v>4</v>
      </c>
      <c r="F143">
        <v>4</v>
      </c>
      <c r="G143">
        <v>3</v>
      </c>
      <c r="H143">
        <v>4</v>
      </c>
      <c r="I143">
        <v>4</v>
      </c>
      <c r="J143">
        <v>4</v>
      </c>
      <c r="K143">
        <v>4</v>
      </c>
      <c r="L143">
        <v>4</v>
      </c>
      <c r="M143">
        <v>2</v>
      </c>
      <c r="N143">
        <v>4</v>
      </c>
      <c r="O143">
        <v>4</v>
      </c>
      <c r="P143">
        <v>2</v>
      </c>
      <c r="Q143">
        <v>4</v>
      </c>
      <c r="R143">
        <f t="shared" si="2"/>
        <v>51</v>
      </c>
    </row>
    <row r="144" spans="1:18" x14ac:dyDescent="0.2">
      <c r="A144">
        <v>2025</v>
      </c>
      <c r="B144">
        <v>61</v>
      </c>
      <c r="C144" s="9" t="s">
        <v>104</v>
      </c>
      <c r="D144">
        <v>4</v>
      </c>
      <c r="E144">
        <v>4</v>
      </c>
      <c r="F144">
        <v>4</v>
      </c>
      <c r="G144">
        <v>4</v>
      </c>
      <c r="H144">
        <v>4</v>
      </c>
      <c r="I144">
        <v>4</v>
      </c>
      <c r="J144">
        <v>4</v>
      </c>
      <c r="K144">
        <v>4</v>
      </c>
      <c r="L144">
        <v>4</v>
      </c>
      <c r="M144">
        <v>4</v>
      </c>
      <c r="N144">
        <v>4</v>
      </c>
      <c r="O144">
        <v>4</v>
      </c>
      <c r="P144">
        <v>4</v>
      </c>
      <c r="Q144">
        <v>4</v>
      </c>
      <c r="R144">
        <f t="shared" si="2"/>
        <v>56</v>
      </c>
    </row>
    <row r="145" spans="1:20" x14ac:dyDescent="0.2">
      <c r="A145">
        <v>2025</v>
      </c>
      <c r="B145">
        <v>61</v>
      </c>
      <c r="C145" s="9" t="s">
        <v>500</v>
      </c>
      <c r="R145">
        <f t="shared" si="2"/>
        <v>0</v>
      </c>
    </row>
    <row r="146" spans="1:20" x14ac:dyDescent="0.2">
      <c r="A146">
        <v>2025</v>
      </c>
      <c r="B146">
        <v>99</v>
      </c>
      <c r="C146" s="9" t="s">
        <v>100</v>
      </c>
      <c r="D146">
        <v>4</v>
      </c>
      <c r="E146">
        <v>4</v>
      </c>
      <c r="F146">
        <v>4</v>
      </c>
      <c r="G146">
        <v>4</v>
      </c>
      <c r="H146">
        <v>4</v>
      </c>
      <c r="I146">
        <v>3</v>
      </c>
      <c r="J146">
        <v>4</v>
      </c>
      <c r="K146">
        <v>3</v>
      </c>
      <c r="L146">
        <v>4</v>
      </c>
      <c r="M146">
        <v>2</v>
      </c>
      <c r="N146">
        <v>3</v>
      </c>
      <c r="O146">
        <v>4</v>
      </c>
      <c r="P146">
        <v>2</v>
      </c>
      <c r="Q146">
        <v>1</v>
      </c>
      <c r="R146">
        <f t="shared" si="2"/>
        <v>46</v>
      </c>
    </row>
    <row r="147" spans="1:20" x14ac:dyDescent="0.2">
      <c r="A147">
        <v>2025</v>
      </c>
      <c r="B147">
        <v>99</v>
      </c>
      <c r="C147" s="9" t="s">
        <v>104</v>
      </c>
      <c r="R147">
        <f t="shared" si="2"/>
        <v>0</v>
      </c>
      <c r="T147" s="9"/>
    </row>
    <row r="148" spans="1:20" x14ac:dyDescent="0.2">
      <c r="A148">
        <v>2025</v>
      </c>
      <c r="B148">
        <v>99</v>
      </c>
      <c r="C148" s="9" t="s">
        <v>500</v>
      </c>
      <c r="R148">
        <f t="shared" si="2"/>
        <v>0</v>
      </c>
    </row>
    <row r="149" spans="1:20" x14ac:dyDescent="0.2">
      <c r="A149">
        <v>2025</v>
      </c>
      <c r="B149">
        <v>98</v>
      </c>
      <c r="C149" s="9" t="s">
        <v>100</v>
      </c>
      <c r="D149">
        <v>4</v>
      </c>
      <c r="E149">
        <v>4</v>
      </c>
      <c r="F149">
        <v>4</v>
      </c>
      <c r="G149">
        <v>4</v>
      </c>
      <c r="H149">
        <v>4</v>
      </c>
      <c r="I149">
        <v>4</v>
      </c>
      <c r="J149">
        <v>4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4</v>
      </c>
      <c r="Q149">
        <v>4</v>
      </c>
      <c r="R149">
        <f t="shared" si="2"/>
        <v>56</v>
      </c>
    </row>
    <row r="150" spans="1:20" x14ac:dyDescent="0.2">
      <c r="A150">
        <v>2025</v>
      </c>
      <c r="B150">
        <v>98</v>
      </c>
      <c r="C150" s="9" t="s">
        <v>104</v>
      </c>
      <c r="R150">
        <f t="shared" si="2"/>
        <v>0</v>
      </c>
    </row>
    <row r="151" spans="1:20" x14ac:dyDescent="0.2">
      <c r="A151">
        <v>2025</v>
      </c>
      <c r="B151">
        <v>98</v>
      </c>
      <c r="C151" s="9" t="s">
        <v>500</v>
      </c>
      <c r="R151">
        <f t="shared" si="2"/>
        <v>0</v>
      </c>
    </row>
    <row r="152" spans="1:20" x14ac:dyDescent="0.2">
      <c r="A152">
        <v>2025</v>
      </c>
      <c r="B152">
        <v>28</v>
      </c>
      <c r="C152" s="9" t="s">
        <v>100</v>
      </c>
      <c r="D152">
        <v>4</v>
      </c>
      <c r="E152">
        <v>4</v>
      </c>
      <c r="F152">
        <v>4</v>
      </c>
      <c r="G152">
        <v>4</v>
      </c>
      <c r="H152">
        <v>4</v>
      </c>
      <c r="I152">
        <v>4</v>
      </c>
      <c r="J152">
        <v>4</v>
      </c>
      <c r="K152">
        <v>4</v>
      </c>
      <c r="L152">
        <v>4</v>
      </c>
      <c r="M152">
        <v>4</v>
      </c>
      <c r="N152">
        <v>4</v>
      </c>
      <c r="O152">
        <v>4</v>
      </c>
      <c r="P152">
        <v>4</v>
      </c>
      <c r="Q152">
        <v>4</v>
      </c>
      <c r="R152">
        <f t="shared" si="2"/>
        <v>56</v>
      </c>
    </row>
    <row r="153" spans="1:20" x14ac:dyDescent="0.2">
      <c r="A153">
        <v>2025</v>
      </c>
      <c r="B153">
        <v>28</v>
      </c>
      <c r="C153" s="9" t="s">
        <v>104</v>
      </c>
      <c r="D153">
        <v>3</v>
      </c>
      <c r="E153">
        <v>4</v>
      </c>
      <c r="F153">
        <v>4</v>
      </c>
      <c r="G153">
        <v>4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f t="shared" si="2"/>
        <v>55</v>
      </c>
    </row>
    <row r="154" spans="1:20" x14ac:dyDescent="0.2">
      <c r="A154">
        <v>2025</v>
      </c>
      <c r="B154">
        <v>28</v>
      </c>
      <c r="C154" s="9" t="s">
        <v>500</v>
      </c>
      <c r="R154">
        <f t="shared" si="2"/>
        <v>0</v>
      </c>
    </row>
    <row r="155" spans="1:20" x14ac:dyDescent="0.2">
      <c r="A155">
        <v>2025</v>
      </c>
      <c r="B155">
        <v>48</v>
      </c>
      <c r="C155" s="9" t="s">
        <v>100</v>
      </c>
      <c r="D155">
        <v>4</v>
      </c>
      <c r="E155">
        <v>4</v>
      </c>
      <c r="F155">
        <v>4</v>
      </c>
      <c r="G155">
        <v>3</v>
      </c>
      <c r="H155">
        <v>4</v>
      </c>
      <c r="I155">
        <v>4</v>
      </c>
      <c r="J155">
        <v>4</v>
      </c>
      <c r="K155">
        <v>4</v>
      </c>
      <c r="L155">
        <v>4</v>
      </c>
      <c r="M155">
        <v>4</v>
      </c>
      <c r="N155">
        <v>4</v>
      </c>
      <c r="O155">
        <v>4</v>
      </c>
      <c r="P155">
        <v>3</v>
      </c>
      <c r="Q155">
        <v>3</v>
      </c>
      <c r="R155">
        <f t="shared" si="2"/>
        <v>53</v>
      </c>
    </row>
    <row r="156" spans="1:20" x14ac:dyDescent="0.2">
      <c r="A156">
        <v>2025</v>
      </c>
      <c r="B156">
        <v>48</v>
      </c>
      <c r="C156" s="9" t="s">
        <v>104</v>
      </c>
      <c r="D156">
        <v>4</v>
      </c>
      <c r="E156">
        <v>4</v>
      </c>
      <c r="F156">
        <v>4</v>
      </c>
      <c r="G156">
        <v>3</v>
      </c>
      <c r="H156">
        <v>4</v>
      </c>
      <c r="I156">
        <v>3</v>
      </c>
      <c r="J156">
        <v>4</v>
      </c>
      <c r="K156">
        <v>4</v>
      </c>
      <c r="L156">
        <v>4</v>
      </c>
      <c r="M156">
        <v>3</v>
      </c>
      <c r="N156">
        <v>4</v>
      </c>
      <c r="O156">
        <v>3</v>
      </c>
      <c r="P156">
        <v>3</v>
      </c>
      <c r="Q156">
        <v>3</v>
      </c>
      <c r="R156">
        <f t="shared" si="2"/>
        <v>50</v>
      </c>
    </row>
    <row r="157" spans="1:20" x14ac:dyDescent="0.2">
      <c r="A157">
        <v>2025</v>
      </c>
      <c r="B157">
        <v>48</v>
      </c>
      <c r="C157" s="9" t="s">
        <v>500</v>
      </c>
      <c r="R157">
        <f t="shared" si="2"/>
        <v>0</v>
      </c>
    </row>
    <row r="158" spans="1:20" x14ac:dyDescent="0.2">
      <c r="A158">
        <v>2025</v>
      </c>
      <c r="B158">
        <v>27</v>
      </c>
      <c r="C158" s="9" t="s">
        <v>100</v>
      </c>
      <c r="D158">
        <v>4</v>
      </c>
      <c r="E158">
        <v>4</v>
      </c>
      <c r="F158">
        <v>4</v>
      </c>
      <c r="G158">
        <v>3</v>
      </c>
      <c r="H158">
        <v>4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f t="shared" si="2"/>
        <v>55</v>
      </c>
    </row>
    <row r="159" spans="1:20" x14ac:dyDescent="0.2">
      <c r="A159">
        <v>2025</v>
      </c>
      <c r="B159">
        <v>27</v>
      </c>
      <c r="C159" s="9" t="s">
        <v>104</v>
      </c>
      <c r="D159">
        <v>4</v>
      </c>
      <c r="E159">
        <v>4</v>
      </c>
      <c r="F159">
        <v>4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4</v>
      </c>
      <c r="M159">
        <v>3</v>
      </c>
      <c r="N159">
        <v>4</v>
      </c>
      <c r="O159">
        <v>4</v>
      </c>
      <c r="P159">
        <v>4</v>
      </c>
      <c r="Q159">
        <v>4</v>
      </c>
      <c r="R159">
        <f t="shared" ref="R159:R166" si="3">D159+E159+F159+G159+H159+I159+J159+K159+L159+M159+N159+O159+P159+Q159</f>
        <v>55</v>
      </c>
    </row>
    <row r="160" spans="1:20" x14ac:dyDescent="0.2">
      <c r="A160">
        <v>2025</v>
      </c>
      <c r="B160">
        <v>27</v>
      </c>
      <c r="C160" s="9" t="s">
        <v>500</v>
      </c>
      <c r="R160">
        <f t="shared" si="3"/>
        <v>0</v>
      </c>
    </row>
    <row r="161" spans="1:18" x14ac:dyDescent="0.2">
      <c r="A161">
        <v>2025</v>
      </c>
      <c r="B161">
        <v>79</v>
      </c>
      <c r="C161" s="9" t="s">
        <v>100</v>
      </c>
      <c r="D161">
        <v>4</v>
      </c>
      <c r="E161">
        <v>4</v>
      </c>
      <c r="F161">
        <v>4</v>
      </c>
      <c r="G161">
        <v>4</v>
      </c>
      <c r="H161">
        <v>4</v>
      </c>
      <c r="I161">
        <v>4</v>
      </c>
      <c r="J161">
        <v>4</v>
      </c>
      <c r="K161">
        <v>4</v>
      </c>
      <c r="L161">
        <v>4</v>
      </c>
      <c r="M161">
        <v>4</v>
      </c>
      <c r="N161">
        <v>4</v>
      </c>
      <c r="O161">
        <v>4</v>
      </c>
      <c r="P161">
        <v>4</v>
      </c>
      <c r="Q161">
        <v>4</v>
      </c>
      <c r="R161">
        <f t="shared" si="3"/>
        <v>56</v>
      </c>
    </row>
    <row r="162" spans="1:18" x14ac:dyDescent="0.2">
      <c r="A162">
        <v>2025</v>
      </c>
      <c r="B162">
        <v>79</v>
      </c>
      <c r="C162" s="9" t="s">
        <v>104</v>
      </c>
      <c r="R162">
        <f t="shared" si="3"/>
        <v>0</v>
      </c>
    </row>
    <row r="163" spans="1:18" x14ac:dyDescent="0.2">
      <c r="A163">
        <v>2025</v>
      </c>
      <c r="B163">
        <v>79</v>
      </c>
      <c r="C163" s="9" t="s">
        <v>500</v>
      </c>
      <c r="R163">
        <f t="shared" si="3"/>
        <v>0</v>
      </c>
    </row>
    <row r="164" spans="1:18" x14ac:dyDescent="0.2">
      <c r="A164">
        <v>2025</v>
      </c>
      <c r="B164">
        <v>62</v>
      </c>
      <c r="C164" s="9" t="s">
        <v>100</v>
      </c>
      <c r="D164">
        <v>4</v>
      </c>
      <c r="E164">
        <v>4</v>
      </c>
      <c r="F164">
        <v>4</v>
      </c>
      <c r="G164">
        <v>3</v>
      </c>
      <c r="H164">
        <v>3</v>
      </c>
      <c r="I164">
        <v>4</v>
      </c>
      <c r="J164">
        <v>4</v>
      </c>
      <c r="K164">
        <v>4</v>
      </c>
      <c r="L164">
        <v>4</v>
      </c>
      <c r="M164">
        <v>2</v>
      </c>
      <c r="N164">
        <v>4</v>
      </c>
      <c r="O164">
        <v>4</v>
      </c>
      <c r="P164">
        <v>3</v>
      </c>
      <c r="Q164">
        <v>4</v>
      </c>
      <c r="R164">
        <f t="shared" si="3"/>
        <v>51</v>
      </c>
    </row>
    <row r="165" spans="1:18" x14ac:dyDescent="0.2">
      <c r="A165">
        <v>2025</v>
      </c>
      <c r="B165">
        <v>62</v>
      </c>
      <c r="C165" s="9" t="s">
        <v>104</v>
      </c>
      <c r="D165">
        <v>3</v>
      </c>
      <c r="E165">
        <v>4</v>
      </c>
      <c r="F165">
        <v>4</v>
      </c>
      <c r="G165">
        <v>4</v>
      </c>
      <c r="H165">
        <v>4</v>
      </c>
      <c r="I165">
        <v>4</v>
      </c>
      <c r="J165">
        <v>4</v>
      </c>
      <c r="K165">
        <v>4</v>
      </c>
      <c r="L165">
        <v>4</v>
      </c>
      <c r="M165">
        <v>4</v>
      </c>
      <c r="N165">
        <v>4</v>
      </c>
      <c r="O165">
        <v>4</v>
      </c>
      <c r="P165">
        <v>2</v>
      </c>
      <c r="Q165">
        <v>3</v>
      </c>
      <c r="R165">
        <f t="shared" si="3"/>
        <v>52</v>
      </c>
    </row>
    <row r="166" spans="1:18" x14ac:dyDescent="0.2">
      <c r="A166">
        <v>2025</v>
      </c>
      <c r="B166">
        <v>62</v>
      </c>
      <c r="C166" s="9" t="s">
        <v>500</v>
      </c>
      <c r="R166">
        <f t="shared" si="3"/>
        <v>0</v>
      </c>
    </row>
    <row r="167" spans="1:18" x14ac:dyDescent="0.2">
      <c r="A167">
        <v>2025</v>
      </c>
      <c r="B167">
        <v>63</v>
      </c>
      <c r="C167" s="9" t="s">
        <v>100</v>
      </c>
      <c r="D167" s="9" t="s">
        <v>501</v>
      </c>
      <c r="E167" s="9" t="s">
        <v>501</v>
      </c>
      <c r="F167" s="9" t="s">
        <v>501</v>
      </c>
      <c r="G167" s="9" t="s">
        <v>501</v>
      </c>
      <c r="H167" s="9" t="s">
        <v>501</v>
      </c>
      <c r="I167" s="9" t="s">
        <v>501</v>
      </c>
      <c r="J167" s="9" t="s">
        <v>501</v>
      </c>
      <c r="K167" s="9" t="s">
        <v>501</v>
      </c>
      <c r="L167" s="9" t="s">
        <v>501</v>
      </c>
      <c r="M167" s="9" t="s">
        <v>501</v>
      </c>
      <c r="N167" s="9" t="s">
        <v>501</v>
      </c>
      <c r="O167" s="9" t="s">
        <v>501</v>
      </c>
      <c r="P167" s="9" t="s">
        <v>501</v>
      </c>
      <c r="Q167" s="9" t="s">
        <v>501</v>
      </c>
      <c r="R167" s="9"/>
    </row>
    <row r="168" spans="1:18" x14ac:dyDescent="0.2">
      <c r="A168">
        <v>2025</v>
      </c>
      <c r="B168">
        <v>63</v>
      </c>
      <c r="C168" s="9" t="s">
        <v>104</v>
      </c>
      <c r="D168">
        <v>4</v>
      </c>
      <c r="E168">
        <v>4</v>
      </c>
      <c r="F168">
        <v>4</v>
      </c>
      <c r="G168">
        <v>4</v>
      </c>
      <c r="H168">
        <v>4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f>D168+E168+F168+G168+H168+I168+J168+K168+L168+M168+N168+O168+P168+Q168</f>
        <v>56</v>
      </c>
    </row>
    <row r="169" spans="1:18" x14ac:dyDescent="0.2">
      <c r="A169">
        <v>2025</v>
      </c>
      <c r="B169">
        <v>63</v>
      </c>
      <c r="C169" s="9" t="s">
        <v>500</v>
      </c>
      <c r="R169">
        <f>D169+E169+F169+G169+H169+I169+J169+K169+L169+M169+N169+O169+P169+Q169</f>
        <v>0</v>
      </c>
    </row>
    <row r="170" spans="1:18" x14ac:dyDescent="0.2"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1:18" x14ac:dyDescent="0.2">
      <c r="C171" s="9"/>
    </row>
    <row r="172" spans="1:18" x14ac:dyDescent="0.2">
      <c r="C172" s="9"/>
    </row>
    <row r="182" spans="3:3" x14ac:dyDescent="0.2">
      <c r="C182" s="9"/>
    </row>
    <row r="183" spans="3:3" x14ac:dyDescent="0.2">
      <c r="C183" s="9"/>
    </row>
    <row r="184" spans="3:3" x14ac:dyDescent="0.2">
      <c r="C184" s="9"/>
    </row>
    <row r="185" spans="3:3" x14ac:dyDescent="0.2">
      <c r="C185" s="9"/>
    </row>
    <row r="186" spans="3:3" x14ac:dyDescent="0.2">
      <c r="C186" s="9"/>
    </row>
    <row r="187" spans="3:3" x14ac:dyDescent="0.2">
      <c r="C187" s="9"/>
    </row>
    <row r="199" spans="3:3" x14ac:dyDescent="0.2">
      <c r="C199" s="9"/>
    </row>
    <row r="200" spans="3:3" x14ac:dyDescent="0.2">
      <c r="C200" s="9"/>
    </row>
    <row r="201" spans="3:3" x14ac:dyDescent="0.2">
      <c r="C201" s="9"/>
    </row>
    <row r="202" spans="3:3" x14ac:dyDescent="0.2">
      <c r="C202" s="9"/>
    </row>
    <row r="203" spans="3:3" x14ac:dyDescent="0.2">
      <c r="C203" s="9"/>
    </row>
    <row r="204" spans="3:3" x14ac:dyDescent="0.2">
      <c r="C204" s="9"/>
    </row>
    <row r="205" spans="3:3" x14ac:dyDescent="0.2">
      <c r="C205" s="9"/>
    </row>
    <row r="210" spans="3:20" x14ac:dyDescent="0.2">
      <c r="T210" s="9"/>
    </row>
    <row r="215" spans="3:20" x14ac:dyDescent="0.2"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22" spans="3:20" x14ac:dyDescent="0.2">
      <c r="C222" s="9"/>
    </row>
    <row r="223" spans="3:20" x14ac:dyDescent="0.2">
      <c r="C223" s="9"/>
    </row>
    <row r="224" spans="3:20" x14ac:dyDescent="0.2">
      <c r="C224" s="9"/>
    </row>
    <row r="225" spans="3:3" x14ac:dyDescent="0.2">
      <c r="C225" s="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10</vt:i4>
      </vt:variant>
    </vt:vector>
  </HeadingPairs>
  <TitlesOfParts>
    <vt:vector size="10" baseType="lpstr">
      <vt:lpstr>Bakgrunn</vt:lpstr>
      <vt:lpstr>Antropometri</vt:lpstr>
      <vt:lpstr>Oppmøte</vt:lpstr>
      <vt:lpstr>Ultralyd</vt:lpstr>
      <vt:lpstr>Kosthold</vt:lpstr>
      <vt:lpstr>Keiser</vt:lpstr>
      <vt:lpstr>Dexa</vt:lpstr>
      <vt:lpstr>Funksjonelle tester</vt:lpstr>
      <vt:lpstr>Chalders fatigue</vt:lpstr>
      <vt:lpstr>Bergs balansetest</vt:lpstr>
    </vt:vector>
  </TitlesOfParts>
  <Company>HINN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Solheim</dc:creator>
  <cp:lastModifiedBy>Lone Cirotzki</cp:lastModifiedBy>
  <dcterms:created xsi:type="dcterms:W3CDTF">2025-03-04T20:31:44Z</dcterms:created>
  <dcterms:modified xsi:type="dcterms:W3CDTF">2026-02-25T10:05:13Z</dcterms:modified>
</cp:coreProperties>
</file>